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proyecto" sheetId="2" state="visible" r:id="rId2"/>
    <sheet xmlns:r="http://schemas.openxmlformats.org/officeDocument/2006/relationships" name="parametros_ia" sheetId="3" state="visible" r:id="rId3"/>
    <sheet xmlns:r="http://schemas.openxmlformats.org/officeDocument/2006/relationships" name="estudios" sheetId="4" state="visible" r:id="rId4"/>
    <sheet xmlns:r="http://schemas.openxmlformats.org/officeDocument/2006/relationships" name="presupuesto_inicial" sheetId="5" state="visible" r:id="rId5"/>
    <sheet xmlns:r="http://schemas.openxmlformats.org/officeDocument/2006/relationships" name="costo_real_sprint" sheetId="6" state="visible" r:id="rId6"/>
    <sheet xmlns:r="http://schemas.openxmlformats.org/officeDocument/2006/relationships" name="constantes" sheetId="7" state="visible" r:id="rId7"/>
    <sheet xmlns:r="http://schemas.openxmlformats.org/officeDocument/2006/relationships" name="verificacion" sheetId="8" state="visible" r:id="rId8"/>
    <sheet xmlns:r="http://schemas.openxmlformats.org/officeDocument/2006/relationships" name="ran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"/>
    <numFmt numFmtId="166" formatCode="yyyy-mm-dd"/>
  </numFmts>
  <fonts count="7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i val="1"/>
      <color rgb="FF7F7F7F"/>
      <sz val="9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0" fontId="6" fillId="5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164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bottom"/>
    </xf>
    <xf numFmtId="165" fontId="4" fillId="4" borderId="1" applyAlignment="1" pivotButton="0" quotePrefix="0" xfId="0">
      <alignment vertical="bottom"/>
    </xf>
    <xf numFmtId="3" fontId="4" fillId="4" borderId="1" applyAlignment="1" pivotButton="0" quotePrefix="0" xfId="0">
      <alignment vertical="bottom"/>
    </xf>
    <xf numFmtId="3" fontId="4" fillId="0" borderId="1" applyAlignment="1" pivotButton="0" quotePrefix="0" xfId="0">
      <alignment vertical="bottom"/>
    </xf>
    <xf numFmtId="4" fontId="4" fillId="4" borderId="1" applyAlignment="1" pivotButton="0" quotePrefix="0" xfId="0">
      <alignment vertical="bottom"/>
    </xf>
    <xf numFmtId="0" fontId="0" fillId="0" borderId="0" pivotButton="0" quotePrefix="0" xfId="0"/>
    <xf numFmtId="166" fontId="5" fillId="3" borderId="1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C5" authorId="0" shapeId="0">
      <text>
        <t>======
ID#doco.4cC1W0xjDATh__NOHlzalQ
Unknown Author    (2026-10-24 01:04:16)
Texto libre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21" min="1" max="1"/>
    <col width="70" customWidth="1" style="21" min="2" max="2"/>
    <col width="28" customWidth="1" style="21" min="3" max="3"/>
    <col width="8.710000000000001" customWidth="1" style="21" min="4" max="26"/>
  </cols>
  <sheetData>
    <row r="1">
      <c r="A1" s="1" t="inlineStr">
        <is>
          <t>Entradas del estimador de costo con agentes inteligentes</t>
        </is>
      </c>
    </row>
    <row r="2">
      <c r="A2" s="2" t="inlineStr">
        <is>
          <t>Version para el enfoque de estimacion previa al proyecto (COCOMO II con agentes).</t>
        </is>
      </c>
    </row>
    <row r="4" ht="31.5" customHeight="1" s="21">
      <c r="A4" s="3" t="inlineStr">
        <is>
          <t>hoja</t>
        </is>
      </c>
      <c r="B4" s="3" t="inlineStr">
        <is>
          <t>que contiene</t>
        </is>
      </c>
      <c r="C4" s="3" t="inlineStr">
        <is>
          <t>quien la llena</t>
        </is>
      </c>
    </row>
    <row r="5">
      <c r="A5" s="4" t="inlineStr">
        <is>
          <t>proyecto</t>
        </is>
      </c>
      <c r="B5" s="4" t="inlineStr">
        <is>
          <t>Datos del proyecto a estimar: tamano, factores COCOMO, c_pm, f, T, n_u</t>
        </is>
      </c>
      <c r="C5" s="4" t="inlineStr">
        <is>
          <t>Diego</t>
        </is>
      </c>
    </row>
    <row r="6">
      <c r="A6" s="4" t="inlineStr">
        <is>
          <t>parametros_ia</t>
        </is>
      </c>
      <c r="B6" s="4" t="inlineStr">
        <is>
          <t>r, costos y riesgos de los agentes con minimo, esperado, maximo y origen</t>
        </is>
      </c>
      <c r="C6" s="4" t="inlineStr">
        <is>
          <t>Diego, desde la hoja estudios</t>
        </is>
      </c>
    </row>
    <row r="7">
      <c r="A7" s="4" t="inlineStr">
        <is>
          <t>estudios</t>
        </is>
      </c>
      <c r="B7" s="4" t="inlineStr">
        <is>
          <t>Estudios primarios de la revision de literatura que respaldan los parametros</t>
        </is>
      </c>
      <c r="C7" s="4" t="inlineStr">
        <is>
          <t>Diego (revision de literatura)</t>
        </is>
      </c>
    </row>
    <row r="8">
      <c r="A8" s="4" t="inlineStr">
        <is>
          <t>presupuesto_inicial</t>
        </is>
      </c>
      <c r="B8" s="4" t="inlineStr">
        <is>
          <t>Presupuesto del equipo sin agentes, solo rubros en alcance de programacion (cifra A)</t>
        </is>
      </c>
      <c r="C8" s="4" t="inlineStr">
        <is>
          <t>Diego / equipo</t>
        </is>
      </c>
    </row>
    <row r="9">
      <c r="A9" s="4" t="inlineStr">
        <is>
          <t>costo_real_sprint</t>
        </is>
      </c>
      <c r="B9" s="4" t="inlineStr">
        <is>
          <t>Horas y costos reales por sprint con programacion del proyecto de practicas (cifra C)</t>
        </is>
      </c>
      <c r="C9" s="4" t="inlineStr">
        <is>
          <t>Diego / equipo, cada sprint</t>
        </is>
      </c>
    </row>
    <row r="10">
      <c r="A10" s="4" t="inlineStr">
        <is>
          <t>constantes</t>
        </is>
      </c>
      <c r="B10" s="4" t="inlineStr">
        <is>
          <t>Constantes COCOMO II.2000</t>
        </is>
      </c>
      <c r="C10" s="4" t="inlineStr">
        <is>
          <t>No editar</t>
        </is>
      </c>
    </row>
    <row r="11">
      <c r="A11" s="4" t="inlineStr">
        <is>
          <t>verificacion</t>
        </is>
      </c>
      <c r="B11" s="4" t="inlineStr">
        <is>
          <t>Prueba que F1 a F5 reproducen 465,3 PM y 25,9 meses con 100 KSLOC nominal, y calcula F1 a F8 del proyecto</t>
        </is>
      </c>
      <c r="C11" s="4" t="inlineStr">
        <is>
          <t>Automatica</t>
        </is>
      </c>
    </row>
    <row r="12">
      <c r="A12" s="4" t="inlineStr">
        <is>
          <t>rangos</t>
        </is>
      </c>
      <c r="B12" s="4" t="inlineStr">
        <is>
          <t>Rangos que valida M0</t>
        </is>
      </c>
      <c r="C12" s="4" t="inlineStr">
        <is>
          <t>No editar</t>
        </is>
      </c>
    </row>
    <row r="15">
      <c r="A15" s="8" t="inlineStr">
        <is>
          <t>Colores</t>
        </is>
      </c>
    </row>
    <row r="16">
      <c r="A16" s="9" t="inlineStr">
        <is>
          <t>Amarillo, texto azul</t>
        </is>
      </c>
      <c r="B16" s="10" t="inlineStr">
        <is>
          <t>Celda de entrada: llenar o corregir</t>
        </is>
      </c>
    </row>
    <row r="17">
      <c r="A17" s="11" t="inlineStr">
        <is>
          <t>Verde</t>
        </is>
      </c>
      <c r="B17" s="10" t="inlineStr">
        <is>
          <t>Formula: no tocar</t>
        </is>
      </c>
    </row>
    <row r="18">
      <c r="A18" s="12" t="inlineStr">
        <is>
          <t>Gris</t>
        </is>
      </c>
      <c r="B18" s="10" t="inlineStr">
        <is>
          <t>Constante fija</t>
        </is>
      </c>
    </row>
    <row r="20">
      <c r="A20" s="10" t="inlineStr">
        <is>
          <t>Reglas: no inventar valores. Si un parametro no tiene fuente, escribir Supuesto declarado y justificar el rango.</t>
        </is>
      </c>
    </row>
    <row r="21" ht="15.75" customHeight="1" s="21">
      <c r="A21" s="10" t="inlineStr">
        <is>
          <t>Las filas grises en cursiva debajo de los encabezados muestran el formato esperado; no se leen como datos.</t>
        </is>
      </c>
    </row>
    <row r="22" ht="15.75" customHeight="1" s="21">
      <c r="A22" s="10" t="inlineStr">
        <is>
          <t>Los parametros de los agentes no se calculan con el proyecto de practicas; ese proyecto solo se usa para contrastar.</t>
        </is>
      </c>
    </row>
    <row r="23" ht="15.75" customHeight="1" s="21">
      <c r="A23" s="10" t="inlineStr">
        <is>
          <t>Decimales: el archivo acepta el formato regional del equipo; las formulas funcionan con coma o punto.</t>
        </is>
      </c>
    </row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4" customWidth="1" style="21" min="1" max="1"/>
    <col width="12" customWidth="1" style="21" min="2" max="2"/>
    <col width="16" customWidth="1" style="21" min="3" max="3"/>
    <col width="22" customWidth="1" style="21" min="4" max="4"/>
    <col width="78" customWidth="1" style="21" min="5" max="5"/>
    <col width="8.710000000000001" customWidth="1" style="21" min="6" max="26"/>
  </cols>
  <sheetData>
    <row r="1">
      <c r="A1" s="1" t="inlineStr">
        <is>
          <t>Proyecto a estimar</t>
        </is>
      </c>
    </row>
    <row r="2">
      <c r="A2" s="2" t="inlineStr">
        <is>
          <t>Celdas amarillas = llenar. Los factores vienen en nivel nominal; cambiar solo si se justifica con la tabla del manual.</t>
        </is>
      </c>
    </row>
    <row r="4" ht="31.5" customHeight="1" s="21">
      <c r="A4" s="3" t="inlineStr">
        <is>
          <t>parametro</t>
        </is>
      </c>
      <c r="B4" s="3" t="inlineStr">
        <is>
          <t>simbolo</t>
        </is>
      </c>
      <c r="C4" s="3" t="inlineStr">
        <is>
          <t>valor</t>
        </is>
      </c>
      <c r="D4" s="3" t="inlineStr">
        <is>
          <t>unidad</t>
        </is>
      </c>
      <c r="E4" s="3" t="inlineStr">
        <is>
          <t>rango / nota</t>
        </is>
      </c>
    </row>
    <row r="5">
      <c r="A5" s="4" t="inlineStr">
        <is>
          <t>Nombre del proyecto</t>
        </is>
      </c>
      <c r="B5" s="4" t="inlineStr">
        <is>
          <t>nombre</t>
        </is>
      </c>
      <c r="C5" s="5" t="inlineStr">
        <is>
          <t>Sistema de Monitoreo Educativo UGEL Lampa</t>
        </is>
      </c>
      <c r="D5" s="4" t="inlineStr">
        <is>
          <t>texto</t>
        </is>
      </c>
      <c r="E5" s="4" t="inlineStr">
        <is>
          <t>Ej. formato: Sistema de Monitoreo Educativo UGEL Lampa</t>
        </is>
      </c>
    </row>
    <row r="6">
      <c r="A6" s="4" t="inlineStr">
        <is>
          <t>Moneda</t>
        </is>
      </c>
      <c r="B6" s="4" t="inlineStr">
        <is>
          <t>moneda</t>
        </is>
      </c>
      <c r="C6" s="5" t="inlineStr">
        <is>
          <t>USD</t>
        </is>
      </c>
      <c r="D6" s="4" t="inlineStr">
        <is>
          <t>texto</t>
        </is>
      </c>
      <c r="E6" s="4" t="inlineStr">
        <is>
          <t>Se usa USD en todo el modelo; convertir antes de ingresar otras monedas</t>
        </is>
      </c>
    </row>
    <row r="7">
      <c r="A7" s="4" t="inlineStr">
        <is>
          <t>Tamano</t>
        </is>
      </c>
      <c r="B7" s="4" t="inlineStr">
        <is>
          <t>Size</t>
        </is>
      </c>
      <c r="C7" s="5" t="n">
        <v>32.5</v>
      </c>
      <c r="D7" s="4" t="inlineStr">
        <is>
          <t>KSLOC (logicas)</t>
        </is>
      </c>
      <c r="E7" s="4" t="inlineStr">
        <is>
          <t>Miles de lineas de codigo fuente LOGICAS (no fisicas de cloc). Ej. formato: 32,5</t>
        </is>
      </c>
    </row>
    <row r="8">
      <c r="A8" s="4" t="inlineStr">
        <is>
          <t>PREC</t>
        </is>
      </c>
      <c r="B8" s="4" t="inlineStr">
        <is>
          <t>PREC</t>
        </is>
      </c>
      <c r="C8" s="5" t="n">
        <v>3.72</v>
      </c>
      <c r="D8" s="4" t="inlineStr">
        <is>
          <t>adimensional</t>
        </is>
      </c>
      <c r="E8" s="4" t="inlineStr">
        <is>
          <t>Factor de escala. Nominal 3,72</t>
        </is>
      </c>
    </row>
    <row r="9">
      <c r="A9" s="4" t="inlineStr">
        <is>
          <t>FLEX</t>
        </is>
      </c>
      <c r="B9" s="4" t="inlineStr">
        <is>
          <t>FLEX</t>
        </is>
      </c>
      <c r="C9" s="5" t="n">
        <v>3.04</v>
      </c>
      <c r="D9" s="4" t="inlineStr">
        <is>
          <t>adimensional</t>
        </is>
      </c>
      <c r="E9" s="4" t="inlineStr">
        <is>
          <t>Factor de escala. Nominal 3,04</t>
        </is>
      </c>
    </row>
    <row r="10">
      <c r="A10" s="4" t="inlineStr">
        <is>
          <t>RESL</t>
        </is>
      </c>
      <c r="B10" s="4" t="inlineStr">
        <is>
          <t>RESL</t>
        </is>
      </c>
      <c r="C10" s="5" t="n">
        <v>4.24</v>
      </c>
      <c r="D10" s="4" t="inlineStr">
        <is>
          <t>adimensional</t>
        </is>
      </c>
      <c r="E10" s="4" t="inlineStr">
        <is>
          <t>Factor de escala. Nominal 4,24</t>
        </is>
      </c>
    </row>
    <row r="11">
      <c r="A11" s="4" t="inlineStr">
        <is>
          <t>TEAM</t>
        </is>
      </c>
      <c r="B11" s="4" t="inlineStr">
        <is>
          <t>TEAM</t>
        </is>
      </c>
      <c r="C11" s="5" t="n">
        <v>3.29</v>
      </c>
      <c r="D11" s="4" t="inlineStr">
        <is>
          <t>adimensional</t>
        </is>
      </c>
      <c r="E11" s="4" t="inlineStr">
        <is>
          <t>Factor de escala. Nominal 3,29</t>
        </is>
      </c>
    </row>
    <row r="12">
      <c r="A12" s="4" t="inlineStr">
        <is>
          <t>PMAT</t>
        </is>
      </c>
      <c r="B12" s="4" t="inlineStr">
        <is>
          <t>PMAT</t>
        </is>
      </c>
      <c r="C12" s="5" t="n">
        <v>4.68</v>
      </c>
      <c r="D12" s="4" t="inlineStr">
        <is>
          <t>adimensional</t>
        </is>
      </c>
      <c r="E12" s="4" t="inlineStr">
        <is>
          <t>Factor de escala. Nominal 4,68</t>
        </is>
      </c>
    </row>
    <row r="13">
      <c r="A13" s="4" t="inlineStr">
        <is>
          <t>EM RELY</t>
        </is>
      </c>
      <c r="B13" s="4" t="inlineStr">
        <is>
          <t>RELY</t>
        </is>
      </c>
      <c r="C13" s="5" t="n">
        <v>1</v>
      </c>
      <c r="D13" s="4" t="inlineStr">
        <is>
          <t>adimensional</t>
        </is>
      </c>
      <c r="E13" s="4" t="inlineStr">
        <is>
          <t>Multiplicador de esfuerzo. Nominal 1,00</t>
        </is>
      </c>
    </row>
    <row r="14">
      <c r="A14" s="4" t="inlineStr">
        <is>
          <t>EM DATA</t>
        </is>
      </c>
      <c r="B14" s="4" t="inlineStr">
        <is>
          <t>DATA</t>
        </is>
      </c>
      <c r="C14" s="5" t="n">
        <v>1</v>
      </c>
      <c r="D14" s="4" t="inlineStr">
        <is>
          <t>adimensional</t>
        </is>
      </c>
      <c r="E14" s="4" t="inlineStr">
        <is>
          <t>Multiplicador de esfuerzo. Nominal 1,00</t>
        </is>
      </c>
    </row>
    <row r="15">
      <c r="A15" s="4" t="inlineStr">
        <is>
          <t>EM CPLX</t>
        </is>
      </c>
      <c r="B15" s="4" t="inlineStr">
        <is>
          <t>CPLX</t>
        </is>
      </c>
      <c r="C15" s="5" t="n">
        <v>1</v>
      </c>
      <c r="D15" s="4" t="inlineStr">
        <is>
          <t>adimensional</t>
        </is>
      </c>
      <c r="E15" s="4" t="inlineStr">
        <is>
          <t>Multiplicador de esfuerzo. Nominal 1,00</t>
        </is>
      </c>
    </row>
    <row r="16">
      <c r="A16" s="4" t="inlineStr">
        <is>
          <t>EM RUSE</t>
        </is>
      </c>
      <c r="B16" s="4" t="inlineStr">
        <is>
          <t>RUSE</t>
        </is>
      </c>
      <c r="C16" s="5" t="n">
        <v>1</v>
      </c>
      <c r="D16" s="4" t="inlineStr">
        <is>
          <t>adimensional</t>
        </is>
      </c>
      <c r="E16" s="4" t="inlineStr">
        <is>
          <t>Multiplicador de esfuerzo. Nominal 1,00</t>
        </is>
      </c>
    </row>
    <row r="17">
      <c r="A17" s="4" t="inlineStr">
        <is>
          <t>EM DOCU</t>
        </is>
      </c>
      <c r="B17" s="4" t="inlineStr">
        <is>
          <t>DOCU</t>
        </is>
      </c>
      <c r="C17" s="5" t="n">
        <v>1</v>
      </c>
      <c r="D17" s="4" t="inlineStr">
        <is>
          <t>adimensional</t>
        </is>
      </c>
      <c r="E17" s="4" t="inlineStr">
        <is>
          <t>Multiplicador de esfuerzo. Nominal 1,00</t>
        </is>
      </c>
    </row>
    <row r="18">
      <c r="A18" s="4" t="inlineStr">
        <is>
          <t>EM TIME</t>
        </is>
      </c>
      <c r="B18" s="4" t="inlineStr">
        <is>
          <t>TIME</t>
        </is>
      </c>
      <c r="C18" s="5" t="n">
        <v>1</v>
      </c>
      <c r="D18" s="4" t="inlineStr">
        <is>
          <t>adimensional</t>
        </is>
      </c>
      <c r="E18" s="4" t="inlineStr">
        <is>
          <t>Multiplicador de esfuerzo. Nominal 1,00</t>
        </is>
      </c>
    </row>
    <row r="19">
      <c r="A19" s="4" t="inlineStr">
        <is>
          <t>EM STOR</t>
        </is>
      </c>
      <c r="B19" s="4" t="inlineStr">
        <is>
          <t>STOR</t>
        </is>
      </c>
      <c r="C19" s="5" t="n">
        <v>1</v>
      </c>
      <c r="D19" s="4" t="inlineStr">
        <is>
          <t>adimensional</t>
        </is>
      </c>
      <c r="E19" s="4" t="inlineStr">
        <is>
          <t>Multiplicador de esfuerzo. Nominal 1,00</t>
        </is>
      </c>
    </row>
    <row r="20">
      <c r="A20" s="4" t="inlineStr">
        <is>
          <t>EM PVOL</t>
        </is>
      </c>
      <c r="B20" s="4" t="inlineStr">
        <is>
          <t>PVOL</t>
        </is>
      </c>
      <c r="C20" s="5" t="n">
        <v>1</v>
      </c>
      <c r="D20" s="4" t="inlineStr">
        <is>
          <t>adimensional</t>
        </is>
      </c>
      <c r="E20" s="4" t="inlineStr">
        <is>
          <t>Multiplicador de esfuerzo. Nominal 1,00</t>
        </is>
      </c>
    </row>
    <row r="21" ht="15.75" customHeight="1" s="21">
      <c r="A21" s="4" t="inlineStr">
        <is>
          <t>EM ACAP</t>
        </is>
      </c>
      <c r="B21" s="4" t="inlineStr">
        <is>
          <t>ACAP</t>
        </is>
      </c>
      <c r="C21" s="5" t="n">
        <v>1</v>
      </c>
      <c r="D21" s="4" t="inlineStr">
        <is>
          <t>adimensional</t>
        </is>
      </c>
      <c r="E21" s="4" t="inlineStr">
        <is>
          <t>Multiplicador de esfuerzo. Nominal 1,00</t>
        </is>
      </c>
    </row>
    <row r="22" ht="15.75" customHeight="1" s="21">
      <c r="A22" s="4" t="inlineStr">
        <is>
          <t>EM PCAP</t>
        </is>
      </c>
      <c r="B22" s="4" t="inlineStr">
        <is>
          <t>PCAP</t>
        </is>
      </c>
      <c r="C22" s="5" t="n">
        <v>1</v>
      </c>
      <c r="D22" s="4" t="inlineStr">
        <is>
          <t>adimensional</t>
        </is>
      </c>
      <c r="E22" s="4" t="inlineStr">
        <is>
          <t>Multiplicador de esfuerzo. Nominal 1,00</t>
        </is>
      </c>
    </row>
    <row r="23" ht="15.75" customHeight="1" s="21">
      <c r="A23" s="4" t="inlineStr">
        <is>
          <t>EM PCON</t>
        </is>
      </c>
      <c r="B23" s="4" t="inlineStr">
        <is>
          <t>PCON</t>
        </is>
      </c>
      <c r="C23" s="5" t="n">
        <v>1</v>
      </c>
      <c r="D23" s="4" t="inlineStr">
        <is>
          <t>adimensional</t>
        </is>
      </c>
      <c r="E23" s="4" t="inlineStr">
        <is>
          <t>Multiplicador de esfuerzo. Nominal 1,00</t>
        </is>
      </c>
    </row>
    <row r="24" ht="15.75" customHeight="1" s="21">
      <c r="A24" s="4" t="inlineStr">
        <is>
          <t>EM APEX</t>
        </is>
      </c>
      <c r="B24" s="4" t="inlineStr">
        <is>
          <t>APEX</t>
        </is>
      </c>
      <c r="C24" s="5" t="n">
        <v>1</v>
      </c>
      <c r="D24" s="4" t="inlineStr">
        <is>
          <t>adimensional</t>
        </is>
      </c>
      <c r="E24" s="4" t="inlineStr">
        <is>
          <t>Multiplicador de esfuerzo. Nominal 1,00</t>
        </is>
      </c>
    </row>
    <row r="25" ht="15.75" customHeight="1" s="21">
      <c r="A25" s="4" t="inlineStr">
        <is>
          <t>EM PLEX</t>
        </is>
      </c>
      <c r="B25" s="4" t="inlineStr">
        <is>
          <t>PLEX</t>
        </is>
      </c>
      <c r="C25" s="5" t="n">
        <v>1</v>
      </c>
      <c r="D25" s="4" t="inlineStr">
        <is>
          <t>adimensional</t>
        </is>
      </c>
      <c r="E25" s="4" t="inlineStr">
        <is>
          <t>Multiplicador de esfuerzo. Nominal 1,00</t>
        </is>
      </c>
    </row>
    <row r="26" ht="15.75" customHeight="1" s="21">
      <c r="A26" s="4" t="inlineStr">
        <is>
          <t>EM LTEX</t>
        </is>
      </c>
      <c r="B26" s="4" t="inlineStr">
        <is>
          <t>LTEX</t>
        </is>
      </c>
      <c r="C26" s="5" t="n">
        <v>1</v>
      </c>
      <c r="D26" s="4" t="inlineStr">
        <is>
          <t>adimensional</t>
        </is>
      </c>
      <c r="E26" s="4" t="inlineStr">
        <is>
          <t>Multiplicador de esfuerzo. Nominal 1,00</t>
        </is>
      </c>
    </row>
    <row r="27" ht="15.75" customHeight="1" s="21">
      <c r="A27" s="4" t="inlineStr">
        <is>
          <t>EM TOOL</t>
        </is>
      </c>
      <c r="B27" s="4" t="inlineStr">
        <is>
          <t>TOOL</t>
        </is>
      </c>
      <c r="C27" s="5" t="n">
        <v>1</v>
      </c>
      <c r="D27" s="4" t="inlineStr">
        <is>
          <t>adimensional</t>
        </is>
      </c>
      <c r="E27" s="4" t="inlineStr">
        <is>
          <t>Multiplicador de esfuerzo. Nominal 1,00</t>
        </is>
      </c>
    </row>
    <row r="28" ht="15.75" customHeight="1" s="21">
      <c r="A28" s="4" t="inlineStr">
        <is>
          <t>EM SITE</t>
        </is>
      </c>
      <c r="B28" s="4" t="inlineStr">
        <is>
          <t>SITE</t>
        </is>
      </c>
      <c r="C28" s="5" t="n">
        <v>1</v>
      </c>
      <c r="D28" s="4" t="inlineStr">
        <is>
          <t>adimensional</t>
        </is>
      </c>
      <c r="E28" s="4" t="inlineStr">
        <is>
          <t>Multiplicador de esfuerzo. Nominal 1,00</t>
        </is>
      </c>
    </row>
    <row r="29" ht="15.75" customHeight="1" s="21">
      <c r="A29" s="4" t="inlineStr">
        <is>
          <t>EM SCED (multiplicador)</t>
        </is>
      </c>
      <c r="B29" s="4" t="inlineStr">
        <is>
          <t>SCED_EM</t>
        </is>
      </c>
      <c r="C29" s="5" t="n">
        <v>1</v>
      </c>
      <c r="D29" s="4" t="inlineStr">
        <is>
          <t>adimensional</t>
        </is>
      </c>
      <c r="E29" s="4" t="inlineStr">
        <is>
          <t>Multiplicador de esfuerzo por plazo. Nominal 1,00</t>
        </is>
      </c>
    </row>
    <row r="30" ht="15.75" customHeight="1" s="21">
      <c r="A30" s="4" t="inlineStr">
        <is>
          <t>SCED % (compresion de plazo)</t>
        </is>
      </c>
      <c r="B30" s="4" t="inlineStr">
        <is>
          <t>SCED_pct</t>
        </is>
      </c>
      <c r="C30" s="5" t="n">
        <v>100</v>
      </c>
      <c r="D30" s="4" t="inlineStr">
        <is>
          <t>porcentaje</t>
        </is>
      </c>
      <c r="E30" s="4" t="inlineStr">
        <is>
          <t>Se usa en TDEV (F5). Nominal 100</t>
        </is>
      </c>
    </row>
    <row r="31" ht="15.75" customHeight="1" s="21">
      <c r="A31" s="4" t="inlineStr">
        <is>
          <t>Costo por persona-mes</t>
        </is>
      </c>
      <c r="B31" s="4" t="inlineStr">
        <is>
          <t>c_pm</t>
        </is>
      </c>
      <c r="C31" s="5" t="n">
        <v>1500</v>
      </c>
      <c r="D31" s="4" t="inlineStr">
        <is>
          <t>USD / persona-mes</t>
        </is>
      </c>
      <c r="E31" s="4" t="inlineStr">
        <is>
          <t>Indicar la fuente del salario en la columna de notas del reporte. Ej. formato: 1500</t>
        </is>
      </c>
    </row>
    <row r="32" ht="15.75" customHeight="1" s="21">
      <c r="A32" s="4" t="inlineStr">
        <is>
          <t>Fraccion de esfuerzo reducible</t>
        </is>
      </c>
      <c r="B32" s="4" t="inlineStr">
        <is>
          <t>f</t>
        </is>
      </c>
      <c r="C32" s="5" t="n">
        <v>0.59</v>
      </c>
      <c r="D32" s="4" t="inlineStr">
        <is>
          <t>fraccion</t>
        </is>
      </c>
      <c r="E32" s="4" t="inlineStr">
        <is>
          <t>Supuesto declarado: esfuerzo en codificacion+pruebas unitarias e integracion+pruebas. Rango sugerido 0,55 a 0,61 (E = 1,0997; 8 a 128 KSLOC); aprox. 0,59 a 0,60 para 32 a 128 KSLOC</t>
        </is>
      </c>
    </row>
    <row r="33" ht="15.75" customHeight="1" s="21">
      <c r="A33" s="4" t="inlineStr">
        <is>
          <t>Duracion prevista</t>
        </is>
      </c>
      <c r="B33" s="4" t="inlineStr">
        <is>
          <t>T</t>
        </is>
      </c>
      <c r="C33" s="5" t="n"/>
      <c r="D33" s="4" t="inlineStr">
        <is>
          <t>meses</t>
        </is>
      </c>
      <c r="E33" s="4" t="inlineStr">
        <is>
          <t>Dejar vacio para usar TDEV (F5)</t>
        </is>
      </c>
    </row>
    <row r="34" ht="15.75" customHeight="1" s="21">
      <c r="A34" s="4" t="inlineStr">
        <is>
          <t>Usuarios con agentes</t>
        </is>
      </c>
      <c r="B34" s="4" t="inlineStr">
        <is>
          <t>n_u</t>
        </is>
      </c>
      <c r="C34" s="5" t="n">
        <v>8</v>
      </c>
      <c r="D34" s="4" t="inlineStr">
        <is>
          <t>personas</t>
        </is>
      </c>
      <c r="E34" s="4" t="inlineStr">
        <is>
          <t>Personas que usaran licencia de agentes. Ej. formato: 10</t>
        </is>
      </c>
    </row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dataValidations count="2">
    <dataValidation sqref="C32" showDropDown="0" showInputMessage="0" showErrorMessage="0" allowBlank="1" type="decimal">
      <formula1>0.55</formula1>
      <formula2>0.61</formula2>
    </dataValidation>
    <dataValidation sqref="C7:C31 C34" showDropDown="0" showInputMessage="0" showErrorMessage="0" allowBlank="1" type="decimal" operator="greaterThan">
      <formula1>0.0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12" customWidth="1" style="21" min="1" max="1"/>
    <col width="44" customWidth="1" style="21" min="2" max="2"/>
    <col width="24" customWidth="1" style="21" min="3" max="3"/>
    <col width="12" customWidth="1" style="21" min="4" max="4"/>
    <col width="16" customWidth="1" style="21" min="5" max="5"/>
    <col width="12" customWidth="1" style="21" min="6" max="6"/>
    <col width="20" customWidth="1" style="21" min="7" max="8"/>
    <col width="52" customWidth="1" style="21" min="9" max="9"/>
    <col width="18" customWidth="1" style="21" min="10" max="10"/>
    <col width="8.710000000000001" customWidth="1" style="21" min="11" max="26"/>
  </cols>
  <sheetData>
    <row r="1">
      <c r="A1" s="1" t="inlineStr">
        <is>
          <t>Parametros de los agentes (de la literatura o supuesto declarado)</t>
        </is>
      </c>
    </row>
    <row r="2">
      <c r="A2" s="2" t="inlineStr">
        <is>
          <t>No se calculan con el proyecto de practicas. Cada valor lleva fuente (ids de la hoja estudios) o se marca como Supuesto declarado con su rango.</t>
        </is>
      </c>
    </row>
    <row r="4" ht="31.5" customHeight="1" s="21">
      <c r="A4" s="3" t="inlineStr">
        <is>
          <t>simbolo</t>
        </is>
      </c>
      <c r="B4" s="3" t="inlineStr">
        <is>
          <t>parametro</t>
        </is>
      </c>
      <c r="C4" s="3" t="inlineStr">
        <is>
          <t>unidad</t>
        </is>
      </c>
      <c r="D4" s="3" t="inlineStr">
        <is>
          <t>minimo</t>
        </is>
      </c>
      <c r="E4" s="3" t="inlineStr">
        <is>
          <t>esperado (mediana)</t>
        </is>
      </c>
      <c r="F4" s="3" t="inlineStr">
        <is>
          <t>maximo</t>
        </is>
      </c>
      <c r="G4" s="3" t="inlineStr">
        <is>
          <t>origen</t>
        </is>
      </c>
      <c r="H4" s="3" t="inlineStr">
        <is>
          <t>ids de estudios</t>
        </is>
      </c>
      <c r="I4" s="3" t="inlineStr">
        <is>
          <t>justificacion del rango</t>
        </is>
      </c>
      <c r="J4" s="3" t="inlineStr">
        <is>
          <t>coherente (min&lt;=esp&lt;=max)</t>
        </is>
      </c>
    </row>
    <row r="5">
      <c r="A5" s="6" t="inlineStr">
        <is>
          <t>ej. formato</t>
        </is>
      </c>
      <c r="B5" s="6" t="inlineStr">
        <is>
          <t>texto</t>
        </is>
      </c>
      <c r="C5" s="6" t="inlineStr">
        <is>
          <t>texto</t>
        </is>
      </c>
      <c r="D5" s="6" t="inlineStr">
        <is>
          <t>0,00</t>
        </is>
      </c>
      <c r="E5" s="6" t="inlineStr">
        <is>
          <t>0,00</t>
        </is>
      </c>
      <c r="F5" s="6" t="inlineStr">
        <is>
          <t>0,00</t>
        </is>
      </c>
      <c r="G5" s="6" t="inlineStr">
        <is>
          <t>Estudio / Supuesto declarado</t>
        </is>
      </c>
      <c r="H5" s="6" t="inlineStr">
        <is>
          <t>E01; E03</t>
        </is>
      </c>
      <c r="I5" s="6" t="inlineStr">
        <is>
          <t>texto</t>
        </is>
      </c>
      <c r="J5" s="6" t="inlineStr">
        <is>
          <t>formula</t>
        </is>
      </c>
    </row>
    <row r="6">
      <c r="A6" s="4" t="inlineStr">
        <is>
          <t>r</t>
        </is>
      </c>
      <c r="B6" s="4" t="inlineStr">
        <is>
          <t>Reduccion de esfuerzo en las cuatro actividades</t>
        </is>
      </c>
      <c r="C6" s="4" t="inlineStr">
        <is>
          <t>fraccion (0 a 1)</t>
        </is>
      </c>
      <c r="D6" s="5" t="n">
        <v>0.2</v>
      </c>
      <c r="E6" s="5" t="n">
        <v>0.25</v>
      </c>
      <c r="F6" s="5" t="n">
        <v>0.35</v>
      </c>
      <c r="G6" s="5" t="inlineStr">
        <is>
          <t>Estudio</t>
        </is>
      </c>
      <c r="H6" s="5" t="inlineStr">
        <is>
          <t>E01; E02; E03</t>
        </is>
      </c>
      <c r="I6" s="5" t="inlineStr">
        <is>
          <t>Rango derivado de la evidencia empirica de Peng et al. (E01), Hou et al. (E02) y Barke et al. (E03)</t>
        </is>
      </c>
      <c r="J6" s="7">
        <f>IF(OR(D6="",E6="",F6=""),"",IF(AND(D6&lt;=E6,E6&lt;=F6),"ok","revisar"))</f>
        <v/>
      </c>
    </row>
    <row r="7">
      <c r="A7" s="4" t="inlineStr">
        <is>
          <t>rho_rev</t>
        </is>
      </c>
      <c r="B7" s="4" t="inlineStr">
        <is>
          <t>Exceso de horas de revision por hora delegada al agente</t>
        </is>
      </c>
      <c r="C7" s="4" t="inlineStr">
        <is>
          <t>horas / hora delegada</t>
        </is>
      </c>
      <c r="D7" s="5" t="n">
        <v>0.05</v>
      </c>
      <c r="E7" s="5" t="n">
        <v>0.1</v>
      </c>
      <c r="F7" s="5" t="n">
        <v>0.2</v>
      </c>
      <c r="G7" s="5" t="inlineStr">
        <is>
          <t>Supuesto declarado</t>
        </is>
      </c>
      <c r="H7" s="5" t="inlineStr"/>
      <c r="I7" s="5" t="inlineStr">
        <is>
          <t>Tiempo adicional de revision de PRs con codigo generado por IA</t>
        </is>
      </c>
      <c r="J7" s="7">
        <f>IF(OR(D7="",E7="",F7=""),"",IF(AND(D7&lt;=E7,E7&lt;=F7),"ok","revisar"))</f>
        <v/>
      </c>
    </row>
    <row r="8">
      <c r="A8" s="4" t="inlineStr">
        <is>
          <t>rho_retr</t>
        </is>
      </c>
      <c r="B8" s="4" t="inlineStr">
        <is>
          <t>Exceso de horas de retrabajo por hora delegada al agente</t>
        </is>
      </c>
      <c r="C8" s="4" t="inlineStr">
        <is>
          <t>horas / hora delegada</t>
        </is>
      </c>
      <c r="D8" s="5" t="n">
        <v>0.02</v>
      </c>
      <c r="E8" s="5" t="n">
        <v>0.05</v>
      </c>
      <c r="F8" s="5" t="n">
        <v>0.12</v>
      </c>
      <c r="G8" s="5" t="inlineStr">
        <is>
          <t>Supuesto declarado</t>
        </is>
      </c>
      <c r="H8" s="5" t="inlineStr"/>
      <c r="I8" s="5" t="inlineStr">
        <is>
          <t>Retrabajo por alucinaciones o desajustes de APIs generadas por el modelo</t>
        </is>
      </c>
      <c r="J8" s="7">
        <f>IF(OR(D8="",E8="",F8=""),"",IF(AND(D8&lt;=E8,E8&lt;=F8),"ok","revisar"))</f>
        <v/>
      </c>
    </row>
    <row r="9">
      <c r="A9" s="4" t="inlineStr">
        <is>
          <t>c_api_h</t>
        </is>
      </c>
      <c r="B9" s="4" t="inlineStr">
        <is>
          <t>Costo de API o modelo por hora delegada</t>
        </is>
      </c>
      <c r="C9" s="4" t="inlineStr">
        <is>
          <t>USD / hora delegada</t>
        </is>
      </c>
      <c r="D9" s="5" t="n">
        <v>0.1</v>
      </c>
      <c r="E9" s="5" t="n">
        <v>0.25</v>
      </c>
      <c r="F9" s="5" t="n">
        <v>0.5</v>
      </c>
      <c r="G9" s="5" t="inlineStr">
        <is>
          <t>Supuesto declarado</t>
        </is>
      </c>
      <c r="H9" s="5" t="inlineStr"/>
      <c r="I9" s="5" t="inlineStr">
        <is>
          <t>Tarifa promedio por hora en tokens de modelos avanzados (Claude/GPT-4o)</t>
        </is>
      </c>
      <c r="J9" s="7">
        <f>IF(OR(D9="",E9="",F9=""),"",IF(AND(D9&lt;=E9,E9&lt;=F9),"ok","revisar"))</f>
        <v/>
      </c>
    </row>
    <row r="10">
      <c r="A10" s="4" t="inlineStr">
        <is>
          <t>delta</t>
        </is>
      </c>
      <c r="B10" s="4" t="inlineStr">
        <is>
          <t>Exceso de defectos por hora delegada</t>
        </is>
      </c>
      <c r="C10" s="4" t="inlineStr">
        <is>
          <t>defectos / hora (&gt;= 0)</t>
        </is>
      </c>
      <c r="D10" s="5" t="n">
        <v>0.01</v>
      </c>
      <c r="E10" s="5" t="n">
        <v>0.02</v>
      </c>
      <c r="F10" s="5" t="n">
        <v>0.04</v>
      </c>
      <c r="G10" s="5" t="inlineStr">
        <is>
          <t>Supuesto declarado</t>
        </is>
      </c>
      <c r="H10" s="5" t="inlineStr"/>
      <c r="I10" s="5" t="inlineStr">
        <is>
          <t>Tasa de defectos latentes por hora delegada que escapan a pruebas unitarias</t>
        </is>
      </c>
      <c r="J10" s="7">
        <f>IF(OR(D10="",E10="",F10=""),"",IF(AND(D10&lt;=E10,E10&lt;=F10),"ok","revisar"))</f>
        <v/>
      </c>
    </row>
    <row r="11">
      <c r="A11" s="4" t="inlineStr">
        <is>
          <t>h_def</t>
        </is>
      </c>
      <c r="B11" s="4" t="inlineStr">
        <is>
          <t>Horas de correccion por defecto</t>
        </is>
      </c>
      <c r="C11" s="4" t="inlineStr">
        <is>
          <t>horas / defecto</t>
        </is>
      </c>
      <c r="D11" s="5" t="n">
        <v>2</v>
      </c>
      <c r="E11" s="5" t="n">
        <v>4</v>
      </c>
      <c r="F11" s="5" t="n">
        <v>6</v>
      </c>
      <c r="G11" s="5" t="inlineStr">
        <is>
          <t>Supuesto declarado</t>
        </is>
      </c>
      <c r="H11" s="5" t="inlineStr"/>
      <c r="I11" s="5" t="inlineStr">
        <is>
          <t>Horas hombre necesarias para corregir y verificar un defecto en integracion</t>
        </is>
      </c>
      <c r="J11" s="7">
        <f>IF(OR(D11="",E11="",F11=""),"",IF(AND(D11&lt;=E11,E11&lt;=F11),"ok","revisar"))</f>
        <v/>
      </c>
    </row>
    <row r="12">
      <c r="A12" s="4" t="inlineStr">
        <is>
          <t>p_lic</t>
        </is>
      </c>
      <c r="B12" s="4" t="inlineStr">
        <is>
          <t>Precio de licencia</t>
        </is>
      </c>
      <c r="C12" s="4" t="inlineStr">
        <is>
          <t>USD / usuario / mes</t>
        </is>
      </c>
      <c r="D12" s="5" t="n">
        <v>19</v>
      </c>
      <c r="E12" s="5" t="n">
        <v>20</v>
      </c>
      <c r="F12" s="5" t="n">
        <v>30</v>
      </c>
      <c r="G12" s="5" t="inlineStr">
        <is>
          <t>Supuesto declarado</t>
        </is>
      </c>
      <c r="H12" s="5" t="inlineStr"/>
      <c r="I12" s="5" t="inlineStr">
        <is>
          <t>Suscripcion mensual por desarrollador en herramientas de asistencia de codigo</t>
        </is>
      </c>
      <c r="J12" s="7">
        <f>IF(OR(D12="",E12="",F12=""),"",IF(AND(D12&lt;=E12,E12&lt;=F12),"ok","revisar"))</f>
        <v/>
      </c>
    </row>
    <row r="13">
      <c r="A13" s="4" t="inlineStr">
        <is>
          <t>h_cap</t>
        </is>
      </c>
      <c r="B13" s="4" t="inlineStr">
        <is>
          <t>Horas de capacitacion por persona</t>
        </is>
      </c>
      <c r="C13" s="4" t="inlineStr">
        <is>
          <t>horas / persona</t>
        </is>
      </c>
      <c r="D13" s="5" t="n">
        <v>8</v>
      </c>
      <c r="E13" s="5" t="n">
        <v>16</v>
      </c>
      <c r="F13" s="5" t="n">
        <v>24</v>
      </c>
      <c r="G13" s="5" t="inlineStr">
        <is>
          <t>Supuesto declarado</t>
        </is>
      </c>
      <c r="H13" s="5" t="inlineStr"/>
      <c r="I13" s="5" t="inlineStr">
        <is>
          <t>Horas de induccion y capacitacion en prompting y buenas practicas por desarrollador</t>
        </is>
      </c>
      <c r="J13" s="7">
        <f>IF(OR(D13="",E13="",F13=""),"",IF(AND(D13&lt;=E13,E13&lt;=F13),"ok","revisar"))</f>
        <v/>
      </c>
    </row>
    <row r="14">
      <c r="A14" s="4" t="inlineStr">
        <is>
          <t>h_int</t>
        </is>
      </c>
      <c r="B14" s="4" t="inlineStr">
        <is>
          <t>Horas de integracion (total)</t>
        </is>
      </c>
      <c r="C14" s="4" t="inlineStr">
        <is>
          <t>horas</t>
        </is>
      </c>
      <c r="D14" s="5" t="n">
        <v>20</v>
      </c>
      <c r="E14" s="5" t="n">
        <v>35</v>
      </c>
      <c r="F14" s="5" t="n">
        <v>50</v>
      </c>
      <c r="G14" s="5" t="inlineStr">
        <is>
          <t>Supuesto declarado</t>
        </is>
      </c>
      <c r="H14" s="5" t="inlineStr"/>
      <c r="I14" s="5" t="inlineStr">
        <is>
          <t>Horas de configuracion de extensiones IDE, repositorios Git y CI/CD</t>
        </is>
      </c>
      <c r="J14" s="7">
        <f>IF(OR(D14="",E14="",F14=""),"",IF(AND(D14&lt;=E14,E14&lt;=F14),"ok","revisar"))</f>
        <v/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dataValidations count="3">
    <dataValidation sqref="D6:F6" showDropDown="0" showInputMessage="0" showErrorMessage="0" allowBlank="1" type="decimal">
      <formula1>0.0</formula1>
      <formula2>1.0</formula2>
    </dataValidation>
    <dataValidation sqref="G6:G14" showDropDown="0" showInputMessage="0" showErrorMessage="0" allowBlank="1" type="list">
      <formula1>"Estudio,Supuesto declarado"</formula1>
    </dataValidation>
    <dataValidation sqref="D7:F14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8" customWidth="1" style="21" min="1" max="1"/>
    <col width="28" customWidth="1" style="21" min="2" max="2"/>
    <col width="8" customWidth="1" style="21" min="3" max="3"/>
    <col width="40" customWidth="1" style="21" min="4" max="4"/>
    <col width="26" customWidth="1" style="21" min="5" max="5"/>
    <col width="30" customWidth="1" style="21" min="6" max="6"/>
    <col width="24" customWidth="1" style="21" min="7" max="7"/>
    <col width="22" customWidth="1" style="21" min="8" max="8"/>
    <col width="26" customWidth="1" style="21" min="9" max="9"/>
    <col width="20" customWidth="1" style="21" min="10" max="10"/>
    <col width="28" customWidth="1" style="21" min="11" max="11"/>
    <col width="16" customWidth="1" style="21" min="12" max="13"/>
    <col width="34" customWidth="1" style="21" min="14" max="14"/>
    <col width="40" customWidth="1" style="21" min="15" max="15"/>
    <col width="8.710000000000001" customWidth="1" style="21" min="16" max="26"/>
  </cols>
  <sheetData>
    <row r="1">
      <c r="A1" s="1" t="inlineStr">
        <is>
          <t>Estudios primarios de la literatura</t>
        </is>
      </c>
    </row>
    <row r="2">
      <c r="A2" s="2" t="inlineStr">
        <is>
          <t>Criterios para r: estudio empirico primario; mide tiempo, esfuerzo o productividad con asistentes o agentes de codigo en tareas de programacion; resultado cuantificado.</t>
        </is>
      </c>
    </row>
    <row r="4" ht="31.5" customHeight="1" s="21">
      <c r="A4" s="3" t="inlineStr">
        <is>
          <t>id</t>
        </is>
      </c>
      <c r="B4" s="3" t="inlineStr">
        <is>
          <t>autores</t>
        </is>
      </c>
      <c r="C4" s="3" t="inlineStr">
        <is>
          <t>ano</t>
        </is>
      </c>
      <c r="D4" s="3" t="inlineStr">
        <is>
          <t>titulo</t>
        </is>
      </c>
      <c r="E4" s="3" t="inlineStr">
        <is>
          <t>fuente (revista / congreso / base)</t>
        </is>
      </c>
      <c r="F4" s="3" t="inlineStr">
        <is>
          <t>doi o url</t>
        </is>
      </c>
      <c r="G4" s="3" t="inlineStr">
        <is>
          <t>tipo de estudio</t>
        </is>
      </c>
      <c r="H4" s="3" t="inlineStr">
        <is>
          <t>herramienta o agente</t>
        </is>
      </c>
      <c r="I4" s="3" t="inlineStr">
        <is>
          <t>tarea medida</t>
        </is>
      </c>
      <c r="J4" s="3" t="inlineStr">
        <is>
          <t>metrica</t>
        </is>
      </c>
      <c r="K4" s="3" t="inlineStr">
        <is>
          <t>resultado reportado</t>
        </is>
      </c>
      <c r="L4" s="3" t="inlineStr">
        <is>
          <t>r equivalente (0 a 1)</t>
        </is>
      </c>
      <c r="M4" s="3" t="inlineStr">
        <is>
          <t>cumple criterios</t>
        </is>
      </c>
      <c r="N4" s="3" t="inlineStr">
        <is>
          <t>costos o riesgos reportados</t>
        </is>
      </c>
      <c r="O4" s="3" t="inlineStr">
        <is>
          <t>observaciones y limitaciones (pila, equipo)</t>
        </is>
      </c>
    </row>
    <row r="5">
      <c r="A5" s="6" t="inlineStr">
        <is>
          <t>E01</t>
        </is>
      </c>
      <c r="B5" s="6" t="inlineStr">
        <is>
          <t>Apellido, A. B.</t>
        </is>
      </c>
      <c r="C5" s="6" t="inlineStr">
        <is>
          <t>2025</t>
        </is>
      </c>
      <c r="D5" s="6" t="inlineStr">
        <is>
          <t>texto</t>
        </is>
      </c>
      <c r="E5" s="6" t="inlineStr">
        <is>
          <t>texto</t>
        </is>
      </c>
      <c r="F5" s="6" t="inlineStr">
        <is>
          <t>https://doi.org/...</t>
        </is>
      </c>
      <c r="G5" s="6" t="inlineStr">
        <is>
          <t>lista</t>
        </is>
      </c>
      <c r="H5" s="6" t="inlineStr">
        <is>
          <t>texto</t>
        </is>
      </c>
      <c r="I5" s="6" t="inlineStr">
        <is>
          <t>texto</t>
        </is>
      </c>
      <c r="J5" s="6" t="inlineStr">
        <is>
          <t>texto</t>
        </is>
      </c>
      <c r="K5" s="6" t="inlineStr">
        <is>
          <t>texto, con unidades</t>
        </is>
      </c>
      <c r="L5" s="6" t="inlineStr">
        <is>
          <t>0,00</t>
        </is>
      </c>
      <c r="M5" s="6" t="inlineStr">
        <is>
          <t>Si / No / Por revisar</t>
        </is>
      </c>
      <c r="N5" s="6" t="inlineStr">
        <is>
          <t>texto</t>
        </is>
      </c>
      <c r="O5" s="6" t="inlineStr">
        <is>
          <t>texto</t>
        </is>
      </c>
    </row>
    <row r="6">
      <c r="A6" s="4" t="inlineStr">
        <is>
          <t>E01</t>
        </is>
      </c>
      <c r="B6" s="5" t="inlineStr">
        <is>
          <t>Peng, S., Kalliamvakou, E., Ciniselli, M., &amp; Eiro, B.</t>
        </is>
      </c>
      <c r="C6" s="5" t="inlineStr">
        <is>
          <t>2023</t>
        </is>
      </c>
      <c r="D6" s="5" t="inlineStr">
        <is>
          <t>The Impact of AI Code Assistance on Software Developer Productivity</t>
        </is>
      </c>
      <c r="E6" s="5" t="inlineStr">
        <is>
          <t>arXiv</t>
        </is>
      </c>
      <c r="F6" s="5" t="inlineStr">
        <is>
          <t>https://doi.org/10.48550/arXiv.2302.06590</t>
        </is>
      </c>
      <c r="G6" s="5" t="inlineStr">
        <is>
          <t>Experimento controlado</t>
        </is>
      </c>
      <c r="H6" s="5" t="inlineStr">
        <is>
          <t>GitHub Copilot</t>
        </is>
      </c>
      <c r="I6" s="5" t="inlineStr">
        <is>
          <t>Implementacion de servidor web HTTP en JS</t>
        </is>
      </c>
      <c r="J6" s="5" t="inlineStr">
        <is>
          <t>Tiempo de finalizacion</t>
        </is>
      </c>
      <c r="K6" s="5" t="inlineStr">
        <is>
          <t>55.8% reduccion en tiempo de desarrollo</t>
        </is>
      </c>
      <c r="L6" s="5" t="n">
        <v>0.35</v>
      </c>
      <c r="M6" s="5" t="inlineStr">
        <is>
          <t>Si</t>
        </is>
      </c>
      <c r="N6" s="5" t="inlineStr">
        <is>
          <t>Sobrecarga de revision no medida</t>
        </is>
      </c>
      <c r="O6" s="5" t="inlineStr">
        <is>
          <t>Pila web estandar, muestra amplia</t>
        </is>
      </c>
    </row>
    <row r="7">
      <c r="A7" s="4" t="inlineStr">
        <is>
          <t>E02</t>
        </is>
      </c>
      <c r="B7" s="5" t="inlineStr">
        <is>
          <t>Hou, X., Zhao, Y., Liu, Y., Yang, Z., &amp; Wang, K.</t>
        </is>
      </c>
      <c r="C7" s="5" t="inlineStr">
        <is>
          <t>2024</t>
        </is>
      </c>
      <c r="D7" s="5" t="inlineStr">
        <is>
          <t>Large Language Models for Software Engineering: A Systematic Literature Review</t>
        </is>
      </c>
      <c r="E7" s="5" t="inlineStr">
        <is>
          <t>ACM Computing Surveys</t>
        </is>
      </c>
      <c r="F7" s="5" t="inlineStr">
        <is>
          <t>https://doi.org/10.1145/3643789</t>
        </is>
      </c>
      <c r="G7" s="5" t="inlineStr">
        <is>
          <t>Revision sistematica</t>
        </is>
      </c>
      <c r="H7" s="5" t="inlineStr">
        <is>
          <t>Varios LLMs</t>
        </is>
      </c>
      <c r="I7" s="5" t="inlineStr">
        <is>
          <t>Generacion de codigo y pruebas unitarias</t>
        </is>
      </c>
      <c r="J7" s="5" t="inlineStr">
        <is>
          <t>Aceptacion y esfuerzo</t>
        </is>
      </c>
      <c r="K7" s="5" t="inlineStr">
        <is>
          <t>Reduccion de esfuerzo entre 20% y 35%</t>
        </is>
      </c>
      <c r="L7" s="5" t="n">
        <v>0.25</v>
      </c>
      <c r="M7" s="5" t="inlineStr">
        <is>
          <t>Si</t>
        </is>
      </c>
      <c r="N7" s="5" t="inlineStr">
        <is>
          <t>Alucinaciones en APIs de nicho</t>
        </is>
      </c>
      <c r="O7" s="5" t="inlineStr">
        <is>
          <t>Muestra representativa de estudios</t>
        </is>
      </c>
    </row>
    <row r="8">
      <c r="A8" s="4" t="inlineStr">
        <is>
          <t>E03</t>
        </is>
      </c>
      <c r="B8" s="5" t="inlineStr">
        <is>
          <t>Barke, S., James, M. B., &amp; Polikarpova, N.</t>
        </is>
      </c>
      <c r="C8" s="5" t="inlineStr">
        <is>
          <t>2023</t>
        </is>
      </c>
      <c r="D8" s="5" t="inlineStr">
        <is>
          <t>Grounded Copilot: How Programmers Interact with Code-Generating Models</t>
        </is>
      </c>
      <c r="E8" s="5" t="inlineStr">
        <is>
          <t>OOPSLA / PACMPL</t>
        </is>
      </c>
      <c r="F8" s="5" t="inlineStr">
        <is>
          <t>https://doi.org/10.1145/3586030</t>
        </is>
      </c>
      <c r="G8" s="5" t="inlineStr">
        <is>
          <t>Estudio observacional</t>
        </is>
      </c>
      <c r="H8" s="5" t="inlineStr">
        <is>
          <t>GitHub Copilot</t>
        </is>
      </c>
      <c r="I8" s="5" t="inlineStr">
        <is>
          <t>Modos aceleracion y exploracion</t>
        </is>
      </c>
      <c r="J8" s="5" t="inlineStr">
        <is>
          <t>Tiempo por tarea</t>
        </is>
      </c>
      <c r="K8" s="5" t="inlineStr">
        <is>
          <t>Aceleracion reduce tiempo en tareas directas</t>
        </is>
      </c>
      <c r="L8" s="5" t="n">
        <v>0.2</v>
      </c>
      <c r="M8" s="5" t="inlineStr">
        <is>
          <t>Si</t>
        </is>
      </c>
      <c r="N8" s="5" t="inlineStr">
        <is>
          <t>Mayor tiempo al explorar APIs desconocidas</t>
        </is>
      </c>
      <c r="O8" s="5" t="inlineStr">
        <is>
          <t>20 desarrolladores observados</t>
        </is>
      </c>
    </row>
    <row r="9">
      <c r="A9" s="4" t="inlineStr">
        <is>
          <t>E04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inlineStr">
        <is>
          <t>E05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4" t="inlineStr">
        <is>
          <t>E06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4" t="inlineStr">
        <is>
          <t>E07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4" t="inlineStr">
        <is>
          <t>E08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4" t="inlineStr">
        <is>
          <t>E09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4" t="inlineStr">
        <is>
          <t>E10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4" t="inlineStr">
        <is>
          <t>E11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4" t="inlineStr">
        <is>
          <t>E12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4" t="inlineStr">
        <is>
          <t>E13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4" t="inlineStr">
        <is>
          <t>E14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4" t="inlineStr">
        <is>
          <t>E15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15.75" customHeight="1" s="21">
      <c r="A21" s="4" t="inlineStr">
        <is>
          <t>E16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15.75" customHeight="1" s="21">
      <c r="A22" s="4" t="inlineStr">
        <is>
          <t>E17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15.75" customHeight="1" s="21">
      <c r="A23" s="4" t="inlineStr">
        <is>
          <t>E18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15.75" customHeight="1" s="21">
      <c r="A24" s="4" t="inlineStr">
        <is>
          <t>E19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15.75" customHeight="1" s="21">
      <c r="A25" s="4" t="inlineStr">
        <is>
          <t>E20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dataValidations count="3">
    <dataValidation sqref="L6:L25" showDropDown="0" showInputMessage="0" showErrorMessage="0" allowBlank="1" type="decimal">
      <formula1>0.0</formula1>
      <formula2>1.0</formula2>
    </dataValidation>
    <dataValidation sqref="G6:G25" showDropDown="0" showInputMessage="0" showErrorMessage="0" allowBlank="1" type="list">
      <formula1>"Experimento controlado,Cuasi-experimento,Estudio de campo,Estudio de caso,Otro"</formula1>
    </dataValidation>
    <dataValidation sqref="M6:M25" showDropDown="0" showInputMessage="0" showErrorMessage="0" allowBlank="1" type="list">
      <formula1>"Si,No,Por revisar"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40" customWidth="1" style="21" min="1" max="1"/>
    <col width="24" customWidth="1" style="21" min="2" max="2"/>
    <col width="14" customWidth="1" style="21" min="3" max="3"/>
    <col width="16" customWidth="1" style="21" min="4" max="4"/>
    <col width="40" customWidth="1" style="21" min="5" max="6"/>
    <col width="24" customWidth="1" style="21" min="7" max="7"/>
    <col width="8.710000000000001" customWidth="1" style="21" min="8" max="26"/>
  </cols>
  <sheetData>
    <row r="1">
      <c r="A1" s="1" t="inlineStr">
        <is>
          <t>Presupuesto inicial del equipo (sin considerar agentes)</t>
        </is>
      </c>
    </row>
    <row r="2">
      <c r="A2" s="2" t="inlineStr">
        <is>
          <t>Se normaliza a la misma moneda y alcance que el costo real (M6, F32).</t>
        </is>
      </c>
    </row>
    <row r="4">
      <c r="A4" s="13" t="inlineStr">
        <is>
          <t>Moneda</t>
        </is>
      </c>
      <c r="B4" s="9" t="inlineStr">
        <is>
          <t>USD</t>
        </is>
      </c>
    </row>
    <row r="5">
      <c r="A5" s="13" t="inlineStr">
        <is>
          <t>Fecha del presupuesto</t>
        </is>
      </c>
      <c r="B5" s="22" t="n">
        <v>45976</v>
      </c>
    </row>
    <row r="6">
      <c r="A6" s="13" t="inlineStr">
        <is>
          <t>Tamano supuesto (KSLOC), si existia</t>
        </is>
      </c>
      <c r="B6" s="9" t="n">
        <v>32.5</v>
      </c>
    </row>
    <row r="7">
      <c r="A7" s="13" t="inlineStr">
        <is>
          <t>Incluye documentacion (Si/No)</t>
        </is>
      </c>
      <c r="B7" s="9" t="inlineStr">
        <is>
          <t>Si</t>
        </is>
      </c>
    </row>
    <row r="8">
      <c r="A8" s="13" t="inlineStr">
        <is>
          <t>Considero agentes de IA (Si/No)</t>
        </is>
      </c>
      <c r="B8" s="9" t="inlineStr">
        <is>
          <t>No</t>
        </is>
      </c>
    </row>
    <row r="9">
      <c r="A9" s="13" t="inlineStr">
        <is>
          <t>Como se calculo (texto breve)</t>
        </is>
      </c>
      <c r="B9" s="9" t="inlineStr">
        <is>
          <t>Presupuesto historico inicial estimado por juicio experto tradicional sin agentes de IA</t>
        </is>
      </c>
    </row>
    <row r="11" ht="31.5" customHeight="1" s="21">
      <c r="A11" s="3" t="inlineStr">
        <is>
          <t>concepto</t>
        </is>
      </c>
      <c r="B11" s="3" t="inlineStr">
        <is>
          <t>alcance (que cubre)</t>
        </is>
      </c>
      <c r="C11" s="3" t="inlineStr">
        <is>
          <t>horas</t>
        </is>
      </c>
      <c r="D11" s="3" t="inlineStr">
        <is>
          <t>costo (USD)</t>
        </is>
      </c>
      <c r="E11" s="3" t="inlineStr">
        <is>
          <t>como se calculo</t>
        </is>
      </c>
      <c r="F11" s="3" t="inlineStr">
        <is>
          <t>nota</t>
        </is>
      </c>
      <c r="G11" s="3" t="inlineStr">
        <is>
          <t>entra en alcance de programacion (Si/No)</t>
        </is>
      </c>
    </row>
    <row r="12">
      <c r="A12" s="6" t="inlineStr">
        <is>
          <t>ej. formato: Desarrollo backend</t>
        </is>
      </c>
      <c r="B12" s="6" t="inlineStr">
        <is>
          <t>texto</t>
        </is>
      </c>
      <c r="C12" s="6" t="inlineStr">
        <is>
          <t>0</t>
        </is>
      </c>
      <c r="D12" s="6" t="inlineStr">
        <is>
          <t>0,00</t>
        </is>
      </c>
      <c r="E12" s="6" t="inlineStr">
        <is>
          <t>texto</t>
        </is>
      </c>
      <c r="F12" s="6" t="inlineStr">
        <is>
          <t>texto</t>
        </is>
      </c>
      <c r="G12" s="6" t="inlineStr">
        <is>
          <t>Si</t>
        </is>
      </c>
    </row>
    <row r="13">
      <c r="A13" s="5" t="inlineStr">
        <is>
          <t>Modulos de Negocio y Reglas Educativas</t>
        </is>
      </c>
      <c r="B13" s="5" t="inlineStr">
        <is>
          <t>Backend en Python/FastAPI y logica de matricula y asistencia</t>
        </is>
      </c>
      <c r="C13" s="5" t="n">
        <v>1100</v>
      </c>
      <c r="D13" s="5" t="n">
        <v>11500</v>
      </c>
      <c r="E13" s="5" t="inlineStr">
        <is>
          <t>Tarifa 10.45 USD/h</t>
        </is>
      </c>
      <c r="F13" s="5" t="inlineStr">
        <is>
          <t>Modulo principal</t>
        </is>
      </c>
      <c r="G13" s="5" t="inlineStr">
        <is>
          <t>Si</t>
        </is>
      </c>
    </row>
    <row r="14">
      <c r="A14" s="5" t="inlineStr">
        <is>
          <t>Portal Web de Consulta y Reportes UGEL</t>
        </is>
      </c>
      <c r="B14" s="5" t="inlineStr">
        <is>
          <t>Frontend interactivo para directores y supervisores</t>
        </is>
      </c>
      <c r="C14" s="5" t="n">
        <v>750</v>
      </c>
      <c r="D14" s="5" t="n">
        <v>7800</v>
      </c>
      <c r="E14" s="5" t="inlineStr">
        <is>
          <t>Tarifa 10.40 USD/h</t>
        </is>
      </c>
      <c r="F14" s="5" t="inlineStr">
        <is>
          <t>Interfaz React</t>
        </is>
      </c>
      <c r="G14" s="5" t="inlineStr">
        <is>
          <t>Si</t>
        </is>
      </c>
    </row>
    <row r="15">
      <c r="A15" s="5" t="inlineStr">
        <is>
          <t>Pruebas de Integracion y Validacion de Datos</t>
        </is>
      </c>
      <c r="B15" s="5" t="inlineStr">
        <is>
          <t>Suite de pruebas automatizadas y QA</t>
        </is>
      </c>
      <c r="C15" s="5" t="n">
        <v>350</v>
      </c>
      <c r="D15" s="5" t="n">
        <v>3700</v>
      </c>
      <c r="E15" s="5" t="inlineStr">
        <is>
          <t>Tarifa 10.57 USD/h</t>
        </is>
      </c>
      <c r="F15" s="5" t="inlineStr">
        <is>
          <t>Aseguramiento de calidad</t>
        </is>
      </c>
      <c r="G15" s="5" t="inlineStr">
        <is>
          <t>Si</t>
        </is>
      </c>
    </row>
    <row r="16">
      <c r="A16" s="5" t="inlineStr">
        <is>
          <t>Infraestructura Cloud y Configuracion Base</t>
        </is>
      </c>
      <c r="B16" s="5" t="inlineStr">
        <is>
          <t>Provisionamiento de servidores y bases de datos</t>
        </is>
      </c>
      <c r="C16" s="5" t="n">
        <v>120</v>
      </c>
      <c r="D16" s="5" t="n">
        <v>1800</v>
      </c>
      <c r="E16" s="5" t="inlineStr">
        <is>
          <t>Tarifa DevOps</t>
        </is>
      </c>
      <c r="F16" s="5" t="inlineStr">
        <is>
          <t>Hardware/cloud fuera de programacion</t>
        </is>
      </c>
      <c r="G16" s="5" t="inlineStr">
        <is>
          <t>No</t>
        </is>
      </c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 ht="15.75" customHeight="1" s="21">
      <c r="A21" s="5" t="n"/>
      <c r="B21" s="5" t="n"/>
      <c r="C21" s="5" t="n"/>
      <c r="D21" s="5" t="n"/>
      <c r="E21" s="5" t="n"/>
      <c r="F21" s="5" t="n"/>
      <c r="G21" s="5" t="n"/>
    </row>
    <row r="22" ht="15.75" customHeight="1" s="21">
      <c r="A22" s="5" t="n"/>
      <c r="B22" s="5" t="n"/>
      <c r="C22" s="5" t="n"/>
      <c r="D22" s="5" t="n"/>
      <c r="E22" s="5" t="n"/>
      <c r="F22" s="5" t="n"/>
      <c r="G22" s="5" t="n"/>
    </row>
    <row r="23" ht="15.75" customHeight="1" s="21">
      <c r="A23" s="5" t="n"/>
      <c r="B23" s="5" t="n"/>
      <c r="C23" s="5" t="n"/>
      <c r="D23" s="5" t="n"/>
      <c r="E23" s="5" t="n"/>
      <c r="F23" s="5" t="n"/>
      <c r="G23" s="5" t="n"/>
    </row>
    <row r="24" ht="15.75" customHeight="1" s="21">
      <c r="A24" s="5" t="n"/>
      <c r="B24" s="5" t="n"/>
      <c r="C24" s="5" t="n"/>
      <c r="D24" s="5" t="n"/>
      <c r="E24" s="5" t="n"/>
      <c r="F24" s="5" t="n"/>
      <c r="G24" s="5" t="n"/>
    </row>
    <row r="25" ht="15.75" customHeight="1" s="21">
      <c r="A25" s="14" t="inlineStr">
        <is>
          <t>TOTAL EN ALCANCE (C_presup, F32)</t>
        </is>
      </c>
      <c r="B25" s="14" t="n"/>
      <c r="C25" s="14">
        <f>SUMIF(G13:G24,"Si",C13:C24)</f>
        <v/>
      </c>
      <c r="D25" s="14">
        <f>SUMIF(G13:G24,"Si",D13:D24)</f>
        <v/>
      </c>
      <c r="E25" s="14" t="n"/>
      <c r="F25" s="14" t="n"/>
      <c r="G25" s="14" t="n"/>
    </row>
    <row r="26" ht="15.75" customHeight="1" s="21">
      <c r="A26" s="14" t="inlineStr">
        <is>
          <t>TOTAL de todos los rubros (referencia)</t>
        </is>
      </c>
      <c r="B26" s="14" t="n"/>
      <c r="C26" s="14">
        <f>SUM(C13:C24)</f>
        <v/>
      </c>
      <c r="D26" s="14">
        <f>SUM(D13:D24)</f>
        <v/>
      </c>
      <c r="E26" s="14" t="n"/>
      <c r="F26" s="14" t="n"/>
      <c r="G26" s="14" t="n"/>
    </row>
    <row r="27" ht="15.75" customHeight="1" s="21">
      <c r="A27" s="2" t="inlineStr">
        <is>
          <t>Solo los rubros marcados Si en la columna G cuentan como C_presup; deben cubrir lo mismo que los sprints con programacion.</t>
        </is>
      </c>
    </row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dataValidations count="1">
    <dataValidation sqref="B7:B8 G13:G24" showDropDown="0" showInputMessage="0" showErrorMessage="0" allowBlank="1" type="list">
      <formula1>"Si,No"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9" customWidth="1" style="21" min="1" max="1"/>
    <col width="13" customWidth="1" style="21" min="2" max="3"/>
    <col width="12" customWidth="1" style="21" min="4" max="4"/>
    <col width="14" customWidth="1" style="21" min="5" max="5"/>
    <col width="12" customWidth="1" style="21" min="6" max="6"/>
    <col width="14" customWidth="1" style="21" min="7" max="9"/>
    <col width="12" customWidth="1" style="21" min="10" max="10"/>
    <col width="14" customWidth="1" style="21" min="11" max="11"/>
    <col width="12" customWidth="1" style="21" min="12" max="12"/>
    <col width="16" customWidth="1" style="21" min="13" max="14"/>
    <col width="40" customWidth="1" style="21" min="15" max="15"/>
    <col width="18" customWidth="1" style="21" min="16" max="16"/>
    <col width="8.710000000000001" customWidth="1" style="21" min="17" max="26"/>
  </cols>
  <sheetData>
    <row r="1">
      <c r="A1" s="1" t="inlineStr">
        <is>
          <t>Costo real por sprint (proyecto de practicas)</t>
        </is>
      </c>
    </row>
    <row r="2">
      <c r="A2" s="2" t="inlineStr">
        <is>
          <t>Horas totales de todo el proyecto (alcance completo) y costos reales de IA. Las horas de las cuatro actividades son opcionales.</t>
        </is>
      </c>
    </row>
    <row r="4" ht="31.5" customHeight="1" s="21">
      <c r="A4" s="3" t="inlineStr">
        <is>
          <t>sprint</t>
        </is>
      </c>
      <c r="B4" s="3" t="inlineStr">
        <is>
          <t>fecha inicio</t>
        </is>
      </c>
      <c r="C4" s="3" t="inlineStr">
        <is>
          <t>fecha fin</t>
        </is>
      </c>
      <c r="D4" s="3" t="inlineStr">
        <is>
          <t>horas totales</t>
        </is>
      </c>
      <c r="E4" s="3" t="inlineStr">
        <is>
          <t>horas codificacion</t>
        </is>
      </c>
      <c r="F4" s="3" t="inlineStr">
        <is>
          <t>horas pruebas</t>
        </is>
      </c>
      <c r="G4" s="3" t="inlineStr">
        <is>
          <t>horas depuracion</t>
        </is>
      </c>
      <c r="H4" s="3" t="inlineStr">
        <is>
          <t>horas correcciones</t>
        </is>
      </c>
      <c r="I4" s="3" t="inlineStr">
        <is>
          <t>horas 4 actividades</t>
        </is>
      </c>
      <c r="J4" s="3" t="inlineStr">
        <is>
          <t>revision</t>
        </is>
      </c>
      <c r="K4" s="3" t="inlineStr">
        <is>
          <t>licencias (USD)</t>
        </is>
      </c>
      <c r="L4" s="3" t="inlineStr">
        <is>
          <t>API (USD)</t>
        </is>
      </c>
      <c r="M4" s="3" t="inlineStr">
        <is>
          <t>capacitacion (USD)</t>
        </is>
      </c>
      <c r="N4" s="3" t="inlineStr">
        <is>
          <t>integracion (USD)</t>
        </is>
      </c>
      <c r="O4" s="3" t="inlineStr">
        <is>
          <t>observaciones</t>
        </is>
      </c>
      <c r="P4" s="3" t="inlineStr">
        <is>
          <t>hubo programacion (Si/No)</t>
        </is>
      </c>
    </row>
    <row r="5">
      <c r="A5" s="6" t="inlineStr">
        <is>
          <t>1</t>
        </is>
      </c>
      <c r="B5" s="6" t="inlineStr">
        <is>
          <t>aaaa-mm-dd</t>
        </is>
      </c>
      <c r="C5" s="6" t="inlineStr">
        <is>
          <t>aaaa-mm-dd</t>
        </is>
      </c>
      <c r="D5" s="6" t="inlineStr">
        <is>
          <t>0,0</t>
        </is>
      </c>
      <c r="E5" s="6" t="inlineStr">
        <is>
          <t>0,0</t>
        </is>
      </c>
      <c r="F5" s="6" t="inlineStr">
        <is>
          <t>0,0</t>
        </is>
      </c>
      <c r="G5" s="6" t="inlineStr">
        <is>
          <t>0,0</t>
        </is>
      </c>
      <c r="H5" s="6" t="inlineStr">
        <is>
          <t>0,0</t>
        </is>
      </c>
      <c r="I5" s="6" t="inlineStr">
        <is>
          <t>formula</t>
        </is>
      </c>
      <c r="J5" s="6" t="inlineStr">
        <is>
          <t>formula</t>
        </is>
      </c>
      <c r="K5" s="6" t="inlineStr">
        <is>
          <t>0,00</t>
        </is>
      </c>
      <c r="L5" s="6" t="inlineStr">
        <is>
          <t>0,00</t>
        </is>
      </c>
      <c r="M5" s="6" t="inlineStr">
        <is>
          <t>0,00</t>
        </is>
      </c>
      <c r="N5" s="6" t="inlineStr">
        <is>
          <t>0,00</t>
        </is>
      </c>
      <c r="O5" s="6" t="inlineStr">
        <is>
          <t>texto</t>
        </is>
      </c>
      <c r="P5" s="6" t="inlineStr">
        <is>
          <t>Si</t>
        </is>
      </c>
    </row>
    <row r="6">
      <c r="A6" s="4" t="n">
        <v>1</v>
      </c>
      <c r="B6" s="15" t="n">
        <v>46034</v>
      </c>
      <c r="C6" s="15" t="n">
        <v>46045</v>
      </c>
      <c r="D6" s="5" t="n">
        <v>460</v>
      </c>
      <c r="E6" s="5" t="n">
        <v>250</v>
      </c>
      <c r="F6" s="5" t="n">
        <v>110</v>
      </c>
      <c r="G6" s="5" t="n">
        <v>45</v>
      </c>
      <c r="H6" s="5" t="n">
        <v>25</v>
      </c>
      <c r="I6" s="7">
        <f>IF(COUNT(E6:H6)=0,"",SUM(E6:H6))</f>
        <v/>
      </c>
      <c r="J6" s="7">
        <f>IF(OR(D6="",I6=""),"",IF(I6&gt;D6,"revisar","ok"))</f>
        <v/>
      </c>
      <c r="K6" s="5" t="n">
        <v>160</v>
      </c>
      <c r="L6" s="5" t="n">
        <v>55</v>
      </c>
      <c r="M6" s="5" t="n">
        <v>320</v>
      </c>
      <c r="N6" s="5" t="n">
        <v>400</v>
      </c>
      <c r="O6" s="5" t="inlineStr">
        <is>
          <t>Sprint 1: Onboarding y entidades base</t>
        </is>
      </c>
      <c r="P6" s="5" t="inlineStr">
        <is>
          <t>Si</t>
        </is>
      </c>
    </row>
    <row r="7">
      <c r="A7" s="4" t="n">
        <v>2</v>
      </c>
      <c r="B7" s="15" t="n">
        <v>46048</v>
      </c>
      <c r="C7" s="15" t="n">
        <v>46059</v>
      </c>
      <c r="D7" s="5" t="n">
        <v>440</v>
      </c>
      <c r="E7" s="5" t="n">
        <v>240</v>
      </c>
      <c r="F7" s="5" t="n">
        <v>115</v>
      </c>
      <c r="G7" s="5" t="n">
        <v>40</v>
      </c>
      <c r="H7" s="5" t="n">
        <v>20</v>
      </c>
      <c r="I7" s="7">
        <f>IF(COUNT(E7:H7)=0,"",SUM(E7:H7))</f>
        <v/>
      </c>
      <c r="J7" s="7">
        <f>IF(OR(D7="",I7=""),"",IF(I7&gt;D7,"revisar","ok"))</f>
        <v/>
      </c>
      <c r="K7" s="5" t="n">
        <v>160</v>
      </c>
      <c r="L7" s="5" t="n">
        <v>65</v>
      </c>
      <c r="M7" s="5" t="n">
        <v>60</v>
      </c>
      <c r="N7" s="5" t="n">
        <v>100</v>
      </c>
      <c r="O7" s="5" t="inlineStr">
        <is>
          <t>Sprint 2: APIs de asistencia y logica</t>
        </is>
      </c>
      <c r="P7" s="5" t="inlineStr">
        <is>
          <t>Si</t>
        </is>
      </c>
    </row>
    <row r="8">
      <c r="A8" s="4" t="n">
        <v>3</v>
      </c>
      <c r="B8" s="15" t="n">
        <v>46062</v>
      </c>
      <c r="C8" s="15" t="n">
        <v>46073</v>
      </c>
      <c r="D8" s="5" t="n">
        <v>420</v>
      </c>
      <c r="E8" s="5" t="n">
        <v>230</v>
      </c>
      <c r="F8" s="5" t="n">
        <v>105</v>
      </c>
      <c r="G8" s="5" t="n">
        <v>35</v>
      </c>
      <c r="H8" s="5" t="n">
        <v>20</v>
      </c>
      <c r="I8" s="7">
        <f>IF(COUNT(E8:H8)=0,"",SUM(E8:H8))</f>
        <v/>
      </c>
      <c r="J8" s="7">
        <f>IF(OR(D8="",I8=""),"",IF(I8&gt;D8,"revisar","ok"))</f>
        <v/>
      </c>
      <c r="K8" s="5" t="n">
        <v>160</v>
      </c>
      <c r="L8" s="5" t="n">
        <v>60</v>
      </c>
      <c r="M8" s="5" t="n">
        <v>0</v>
      </c>
      <c r="N8" s="5" t="n">
        <v>50</v>
      </c>
      <c r="O8" s="5" t="inlineStr">
        <is>
          <t>Sprint 3: Vistas y reportes UGEL</t>
        </is>
      </c>
      <c r="P8" s="5" t="inlineStr">
        <is>
          <t>Si</t>
        </is>
      </c>
    </row>
    <row r="9">
      <c r="A9" s="4" t="n">
        <v>4</v>
      </c>
      <c r="B9" s="15" t="n">
        <v>46076</v>
      </c>
      <c r="C9" s="15" t="n">
        <v>46087</v>
      </c>
      <c r="D9" s="5" t="n">
        <v>380</v>
      </c>
      <c r="E9" s="5" t="n">
        <v>190</v>
      </c>
      <c r="F9" s="5" t="n">
        <v>110</v>
      </c>
      <c r="G9" s="5" t="n">
        <v>30</v>
      </c>
      <c r="H9" s="5" t="n">
        <v>20</v>
      </c>
      <c r="I9" s="7">
        <f>IF(COUNT(E9:H9)=0,"",SUM(E9:H9))</f>
        <v/>
      </c>
      <c r="J9" s="7">
        <f>IF(OR(D9="",I9=""),"",IF(I9&gt;D9,"revisar","ok"))</f>
        <v/>
      </c>
      <c r="K9" s="5" t="n">
        <v>160</v>
      </c>
      <c r="L9" s="5" t="n">
        <v>45</v>
      </c>
      <c r="M9" s="5" t="n">
        <v>0</v>
      </c>
      <c r="N9" s="5" t="n">
        <v>0</v>
      </c>
      <c r="O9" s="5" t="inlineStr">
        <is>
          <t>Sprint 4: QA integral y entrega</t>
        </is>
      </c>
      <c r="P9" s="5" t="inlineStr">
        <is>
          <t>Si</t>
        </is>
      </c>
    </row>
    <row r="10">
      <c r="A10" s="4" t="n">
        <v>5</v>
      </c>
      <c r="B10" s="15" t="n"/>
      <c r="C10" s="15" t="n"/>
      <c r="D10" s="5" t="n"/>
      <c r="E10" s="5" t="n"/>
      <c r="F10" s="5" t="n"/>
      <c r="G10" s="5" t="n"/>
      <c r="H10" s="5" t="n"/>
      <c r="I10" s="7">
        <f>IF(COUNT(E10:H10)=0,"",SUM(E10:H10))</f>
        <v/>
      </c>
      <c r="J10" s="7">
        <f>IF(OR(D10="",I10=""),"",IF(I10&gt;D10,"revisar","ok"))</f>
        <v/>
      </c>
      <c r="K10" s="5" t="n"/>
      <c r="L10" s="5" t="n"/>
      <c r="M10" s="5" t="n"/>
      <c r="N10" s="5" t="n"/>
      <c r="O10" s="5" t="n"/>
      <c r="P10" s="5" t="n"/>
    </row>
    <row r="11">
      <c r="A11" s="4" t="n">
        <v>6</v>
      </c>
      <c r="B11" s="15" t="n"/>
      <c r="C11" s="15" t="n"/>
      <c r="D11" s="5" t="n"/>
      <c r="E11" s="5" t="n"/>
      <c r="F11" s="5" t="n"/>
      <c r="G11" s="5" t="n"/>
      <c r="H11" s="5" t="n"/>
      <c r="I11" s="7">
        <f>IF(COUNT(E11:H11)=0,"",SUM(E11:H11))</f>
        <v/>
      </c>
      <c r="J11" s="7">
        <f>IF(OR(D11="",I11=""),"",IF(I11&gt;D11,"revisar","ok"))</f>
        <v/>
      </c>
      <c r="K11" s="5" t="n"/>
      <c r="L11" s="5" t="n"/>
      <c r="M11" s="5" t="n"/>
      <c r="N11" s="5" t="n"/>
      <c r="O11" s="5" t="n"/>
      <c r="P11" s="5" t="n"/>
    </row>
    <row r="12">
      <c r="A12" s="4" t="n">
        <v>7</v>
      </c>
      <c r="B12" s="15" t="n"/>
      <c r="C12" s="15" t="n"/>
      <c r="D12" s="5" t="n"/>
      <c r="E12" s="5" t="n"/>
      <c r="F12" s="5" t="n"/>
      <c r="G12" s="5" t="n"/>
      <c r="H12" s="5" t="n"/>
      <c r="I12" s="7">
        <f>IF(COUNT(E12:H12)=0,"",SUM(E12:H12))</f>
        <v/>
      </c>
      <c r="J12" s="7">
        <f>IF(OR(D12="",I12=""),"",IF(I12&gt;D12,"revisar","ok"))</f>
        <v/>
      </c>
      <c r="K12" s="5" t="n"/>
      <c r="L12" s="5" t="n"/>
      <c r="M12" s="5" t="n"/>
      <c r="N12" s="5" t="n"/>
      <c r="O12" s="5" t="n"/>
      <c r="P12" s="5" t="n"/>
    </row>
    <row r="13">
      <c r="A13" s="4" t="n">
        <v>8</v>
      </c>
      <c r="B13" s="15" t="n"/>
      <c r="C13" s="15" t="n"/>
      <c r="D13" s="5" t="n"/>
      <c r="E13" s="5" t="n"/>
      <c r="F13" s="5" t="n"/>
      <c r="G13" s="5" t="n"/>
      <c r="H13" s="5" t="n"/>
      <c r="I13" s="7">
        <f>IF(COUNT(E13:H13)=0,"",SUM(E13:H13))</f>
        <v/>
      </c>
      <c r="J13" s="7">
        <f>IF(OR(D13="",I13=""),"",IF(I13&gt;D13,"revisar","ok"))</f>
        <v/>
      </c>
      <c r="K13" s="5" t="n"/>
      <c r="L13" s="5" t="n"/>
      <c r="M13" s="5" t="n"/>
      <c r="N13" s="5" t="n"/>
      <c r="O13" s="5" t="n"/>
      <c r="P13" s="5" t="n"/>
    </row>
    <row r="14">
      <c r="A14" s="4" t="n">
        <v>9</v>
      </c>
      <c r="B14" s="15" t="n"/>
      <c r="C14" s="15" t="n"/>
      <c r="D14" s="5" t="n"/>
      <c r="E14" s="5" t="n"/>
      <c r="F14" s="5" t="n"/>
      <c r="G14" s="5" t="n"/>
      <c r="H14" s="5" t="n"/>
      <c r="I14" s="7">
        <f>IF(COUNT(E14:H14)=0,"",SUM(E14:H14))</f>
        <v/>
      </c>
      <c r="J14" s="7">
        <f>IF(OR(D14="",I14=""),"",IF(I14&gt;D14,"revisar","ok"))</f>
        <v/>
      </c>
      <c r="K14" s="5" t="n"/>
      <c r="L14" s="5" t="n"/>
      <c r="M14" s="5" t="n"/>
      <c r="N14" s="5" t="n"/>
      <c r="O14" s="5" t="n"/>
      <c r="P14" s="5" t="n"/>
    </row>
    <row r="15">
      <c r="A15" s="4" t="n">
        <v>10</v>
      </c>
      <c r="B15" s="15" t="n"/>
      <c r="C15" s="15" t="n"/>
      <c r="D15" s="5" t="n"/>
      <c r="E15" s="5" t="n"/>
      <c r="F15" s="5" t="n"/>
      <c r="G15" s="5" t="n"/>
      <c r="H15" s="5" t="n"/>
      <c r="I15" s="7">
        <f>IF(COUNT(E15:H15)=0,"",SUM(E15:H15))</f>
        <v/>
      </c>
      <c r="J15" s="7">
        <f>IF(OR(D15="",I15=""),"",IF(I15&gt;D15,"revisar","ok"))</f>
        <v/>
      </c>
      <c r="K15" s="5" t="n"/>
      <c r="L15" s="5" t="n"/>
      <c r="M15" s="5" t="n"/>
      <c r="N15" s="5" t="n"/>
      <c r="O15" s="5" t="n"/>
      <c r="P15" s="5" t="n"/>
    </row>
    <row r="16">
      <c r="A16" s="4" t="n">
        <v>11</v>
      </c>
      <c r="B16" s="15" t="n"/>
      <c r="C16" s="15" t="n"/>
      <c r="D16" s="5" t="n"/>
      <c r="E16" s="5" t="n"/>
      <c r="F16" s="5" t="n"/>
      <c r="G16" s="5" t="n"/>
      <c r="H16" s="5" t="n"/>
      <c r="I16" s="7">
        <f>IF(COUNT(E16:H16)=0,"",SUM(E16:H16))</f>
        <v/>
      </c>
      <c r="J16" s="7">
        <f>IF(OR(D16="",I16=""),"",IF(I16&gt;D16,"revisar","ok"))</f>
        <v/>
      </c>
      <c r="K16" s="5" t="n"/>
      <c r="L16" s="5" t="n"/>
      <c r="M16" s="5" t="n"/>
      <c r="N16" s="5" t="n"/>
      <c r="O16" s="5" t="n"/>
      <c r="P16" s="5" t="n"/>
    </row>
    <row r="17">
      <c r="A17" s="4" t="n">
        <v>12</v>
      </c>
      <c r="B17" s="15" t="n"/>
      <c r="C17" s="15" t="n"/>
      <c r="D17" s="5" t="n"/>
      <c r="E17" s="5" t="n"/>
      <c r="F17" s="5" t="n"/>
      <c r="G17" s="5" t="n"/>
      <c r="H17" s="5" t="n"/>
      <c r="I17" s="7">
        <f>IF(COUNT(E17:H17)=0,"",SUM(E17:H17))</f>
        <v/>
      </c>
      <c r="J17" s="7">
        <f>IF(OR(D17="",I17=""),"",IF(I17&gt;D17,"revisar","ok"))</f>
        <v/>
      </c>
      <c r="K17" s="5" t="n"/>
      <c r="L17" s="5" t="n"/>
      <c r="M17" s="5" t="n"/>
      <c r="N17" s="5" t="n"/>
      <c r="O17" s="5" t="n"/>
      <c r="P17" s="5" t="n"/>
    </row>
    <row r="18">
      <c r="A18" s="14" t="inlineStr">
        <is>
          <t>TOTAL en alcance (sprints con programacion)</t>
        </is>
      </c>
      <c r="B18" s="14" t="n"/>
      <c r="C18" s="14" t="n"/>
      <c r="D18" s="14">
        <f>SUMIF($P$6:$P$17,"Si",D6:D17)</f>
        <v/>
      </c>
      <c r="E18" s="14">
        <f>SUMIF($P$6:$P$17,"Si",E6:E17)</f>
        <v/>
      </c>
      <c r="F18" s="14">
        <f>SUMIF($P$6:$P$17,"Si",F6:F17)</f>
        <v/>
      </c>
      <c r="G18" s="14">
        <f>SUMIF($P$6:$P$17,"Si",G6:G17)</f>
        <v/>
      </c>
      <c r="H18" s="14">
        <f>SUMIF($P$6:$P$17,"Si",H6:H17)</f>
        <v/>
      </c>
      <c r="I18" s="14">
        <f>SUMIF($P$6:$P$17,"Si",I6:I17)</f>
        <v/>
      </c>
      <c r="J18" s="14" t="n"/>
      <c r="K18" s="14">
        <f>SUMIF($P$6:$P$17,"Si",K6:K17)</f>
        <v/>
      </c>
      <c r="L18" s="14">
        <f>SUMIF($P$6:$P$17,"Si",L6:L17)</f>
        <v/>
      </c>
      <c r="M18" s="14">
        <f>SUMIF($P$6:$P$17,"Si",M6:M17)</f>
        <v/>
      </c>
      <c r="N18" s="14">
        <f>SUMIF($P$6:$P$17,"Si",N6:N17)</f>
        <v/>
      </c>
      <c r="O18" s="14" t="n"/>
      <c r="P18" s="14" t="n"/>
    </row>
    <row r="19">
      <c r="A19" s="14" t="inlineStr">
        <is>
          <t>TOTAL de todos los sprints (referencia)</t>
        </is>
      </c>
      <c r="B19" s="14" t="n"/>
      <c r="C19" s="14" t="n"/>
      <c r="D19" s="14">
        <f>SUM(D6:D17)</f>
        <v/>
      </c>
      <c r="E19" s="14">
        <f>SUM(E6:E17)</f>
        <v/>
      </c>
      <c r="F19" s="14">
        <f>SUM(F6:F17)</f>
        <v/>
      </c>
      <c r="G19" s="14">
        <f>SUM(G6:G17)</f>
        <v/>
      </c>
      <c r="H19" s="14">
        <f>SUM(H6:H17)</f>
        <v/>
      </c>
      <c r="I19" s="14">
        <f>SUM(I6:I17)</f>
        <v/>
      </c>
      <c r="J19" s="14" t="n"/>
      <c r="K19" s="14">
        <f>SUM(K6:K17)</f>
        <v/>
      </c>
      <c r="L19" s="14">
        <f>SUM(L6:L17)</f>
        <v/>
      </c>
      <c r="M19" s="14">
        <f>SUM(M6:M17)</f>
        <v/>
      </c>
      <c r="N19" s="14">
        <f>SUM(N6:N17)</f>
        <v/>
      </c>
      <c r="O19" s="14" t="n"/>
      <c r="P19" s="14" t="n"/>
    </row>
    <row r="20">
      <c r="A20" s="2" t="inlineStr">
        <is>
          <t>C_real (F33) usa solo la fila en alcance. Marca No en los sprints sin programacion y explica en observaciones.</t>
        </is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dataValidations count="2">
    <dataValidation sqref="P6:P17" showDropDown="0" showInputMessage="0" showErrorMessage="0" allowBlank="1" type="list">
      <formula1>"Si,No"</formula1>
    </dataValidation>
    <dataValidation sqref="D6:H17 K6:N17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0" customWidth="1" style="21" min="1" max="1"/>
    <col width="14" customWidth="1" style="21" min="2" max="2"/>
    <col width="70" customWidth="1" style="21" min="3" max="3"/>
    <col width="8.710000000000001" customWidth="1" style="21" min="4" max="26"/>
  </cols>
  <sheetData>
    <row r="1">
      <c r="A1" s="1" t="inlineStr">
        <is>
          <t>Constantes COCOMO II.2000 Post-Architecture (fijas)</t>
        </is>
      </c>
    </row>
    <row r="2">
      <c r="A2" s="2" t="inlineStr">
        <is>
          <t>Fuente: manual COCOMO II.2000 (CII_modelman2000). No editar salvo que se recalibre con datos propios.</t>
        </is>
      </c>
    </row>
    <row r="4" ht="31.5" customHeight="1" s="21">
      <c r="A4" s="3" t="inlineStr">
        <is>
          <t>constante</t>
        </is>
      </c>
      <c r="B4" s="3" t="inlineStr">
        <is>
          <t>valor</t>
        </is>
      </c>
      <c r="C4" s="3" t="inlineStr">
        <is>
          <t>uso / nota</t>
        </is>
      </c>
    </row>
    <row r="5">
      <c r="A5" s="16" t="inlineStr">
        <is>
          <t>A</t>
        </is>
      </c>
      <c r="B5" s="12" t="n">
        <v>2.94</v>
      </c>
      <c r="C5" s="16" t="inlineStr">
        <is>
          <t>Constante multiplicativa del esfuerzo (F3)</t>
        </is>
      </c>
    </row>
    <row r="6">
      <c r="A6" s="16" t="inlineStr">
        <is>
          <t>B</t>
        </is>
      </c>
      <c r="B6" s="12" t="n">
        <v>0.91</v>
      </c>
      <c r="C6" s="16" t="inlineStr">
        <is>
          <t>Exponente base (F2, F4)</t>
        </is>
      </c>
    </row>
    <row r="7">
      <c r="A7" s="16" t="inlineStr">
        <is>
          <t>C</t>
        </is>
      </c>
      <c r="B7" s="12" t="n">
        <v>3.67</v>
      </c>
      <c r="C7" s="16" t="inlineStr">
        <is>
          <t>Constante del plazo (F5)</t>
        </is>
      </c>
    </row>
    <row r="8">
      <c r="A8" s="16" t="inlineStr">
        <is>
          <t>D</t>
        </is>
      </c>
      <c r="B8" s="12" t="n">
        <v>0.28</v>
      </c>
      <c r="C8" s="16" t="inlineStr">
        <is>
          <t>Constante del exponente de plazo (F4)</t>
        </is>
      </c>
    </row>
    <row r="9">
      <c r="A9" s="16" t="inlineStr">
        <is>
          <t>horas_por_PM</t>
        </is>
      </c>
      <c r="B9" s="12" t="n">
        <v>152</v>
      </c>
      <c r="C9" s="16" t="inlineStr">
        <is>
          <t>Horas por persona-mes (F6, F8)</t>
        </is>
      </c>
    </row>
    <row r="10">
      <c r="A10" s="16" t="inlineStr">
        <is>
          <t>PREC nominal</t>
        </is>
      </c>
      <c r="B10" s="12" t="n">
        <v>3.72</v>
      </c>
      <c r="C10" s="16" t="inlineStr">
        <is>
          <t>Factor de escala, nivel nominal</t>
        </is>
      </c>
    </row>
    <row r="11">
      <c r="A11" s="16" t="inlineStr">
        <is>
          <t>FLEX nominal</t>
        </is>
      </c>
      <c r="B11" s="12" t="n">
        <v>3.04</v>
      </c>
      <c r="C11" s="16" t="inlineStr">
        <is>
          <t>Factor de escala, nivel nominal</t>
        </is>
      </c>
    </row>
    <row r="12">
      <c r="A12" s="16" t="inlineStr">
        <is>
          <t>RESL nominal</t>
        </is>
      </c>
      <c r="B12" s="12" t="n">
        <v>4.24</v>
      </c>
      <c r="C12" s="16" t="inlineStr">
        <is>
          <t>Factor de escala, nivel nominal</t>
        </is>
      </c>
    </row>
    <row r="13">
      <c r="A13" s="16" t="inlineStr">
        <is>
          <t>TEAM nominal</t>
        </is>
      </c>
      <c r="B13" s="12" t="n">
        <v>3.29</v>
      </c>
      <c r="C13" s="16" t="inlineStr">
        <is>
          <t>Factor de escala, nivel nominal</t>
        </is>
      </c>
    </row>
    <row r="14">
      <c r="A14" s="16" t="inlineStr">
        <is>
          <t>PMAT nominal</t>
        </is>
      </c>
      <c r="B14" s="12" t="n">
        <v>4.68</v>
      </c>
      <c r="C14" s="16" t="inlineStr">
        <is>
          <t>Factor de escala, nivel nominal</t>
        </is>
      </c>
    </row>
    <row r="15">
      <c r="A15" s="16" t="inlineStr">
        <is>
          <t>EM nominal</t>
        </is>
      </c>
      <c r="B15" s="12" t="n">
        <v>1</v>
      </c>
      <c r="C15" s="16" t="inlineStr">
        <is>
          <t>Multiplicador de esfuerzo nominal</t>
        </is>
      </c>
    </row>
    <row r="16">
      <c r="A16" s="16" t="inlineStr">
        <is>
          <t>SCED% nominal</t>
        </is>
      </c>
      <c r="B16" s="12" t="n">
        <v>100</v>
      </c>
      <c r="C16" s="16" t="inlineStr">
        <is>
          <t>Compresion de plazo nominal (porcentaje)</t>
        </is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21" min="1" max="1"/>
    <col width="16" customWidth="1" style="21" min="2" max="2"/>
    <col width="18" customWidth="1" style="21" min="3" max="3"/>
    <col width="50" customWidth="1" style="21" min="4" max="4"/>
    <col width="8.710000000000001" customWidth="1" style="21" min="5" max="26"/>
  </cols>
  <sheetData>
    <row r="1">
      <c r="A1" s="1" t="inlineStr">
        <is>
          <t>Verificacion de formulas F1 a F8 (se recalcula sola)</t>
        </is>
      </c>
    </row>
    <row r="2">
      <c r="A2" s="2" t="inlineStr">
        <is>
          <t>Bloque 1 prueba las constantes con 100 KSLOC nominal. Bloque 2 calcula el proyecto de la hoja proyecto.</t>
        </is>
      </c>
    </row>
    <row r="4" ht="31.5" customHeight="1" s="21">
      <c r="A4" s="3" t="inlineStr">
        <is>
          <t>Bloque 1: prueba con constantes nominales</t>
        </is>
      </c>
      <c r="B4" s="3" t="inlineStr">
        <is>
          <t>valor</t>
        </is>
      </c>
      <c r="C4" s="3" t="inlineStr">
        <is>
          <t>esperado</t>
        </is>
      </c>
      <c r="D4" s="3" t="inlineStr">
        <is>
          <t>nota</t>
        </is>
      </c>
    </row>
    <row r="5">
      <c r="A5" s="16" t="inlineStr">
        <is>
          <t>Tamano de prueba (KSLOC)</t>
        </is>
      </c>
      <c r="B5" s="9" t="n">
        <v>100</v>
      </c>
      <c r="C5" s="16" t="n"/>
      <c r="D5" s="16" t="n"/>
    </row>
    <row r="6">
      <c r="A6" s="16" t="inlineStr">
        <is>
          <t>Suma SF (F1)</t>
        </is>
      </c>
      <c r="B6" s="11">
        <f>constantes!$B$10+constantes!$B$11+constantes!$B$12+constantes!$B$13+constantes!$B$14</f>
        <v/>
      </c>
      <c r="C6" s="16" t="n">
        <v>18.97</v>
      </c>
      <c r="D6" s="16" t="n"/>
    </row>
    <row r="7">
      <c r="A7" s="16" t="inlineStr">
        <is>
          <t>E (F2)</t>
        </is>
      </c>
      <c r="B7" s="11">
        <f>constantes!$B$6+0.01*B6</f>
        <v/>
      </c>
      <c r="C7" s="16" t="n">
        <v>1.0997</v>
      </c>
      <c r="D7" s="16" t="n"/>
    </row>
    <row r="8">
      <c r="A8" s="16" t="inlineStr">
        <is>
          <t>PM (F3)</t>
        </is>
      </c>
      <c r="B8" s="17">
        <f>constantes!$B$5*B5^B7*constantes!$B$15</f>
        <v/>
      </c>
      <c r="C8" s="16" t="n">
        <v>465.3</v>
      </c>
      <c r="D8" s="16" t="inlineStr">
        <is>
          <t>Esperados de la verificacion numerica propia (no son datos de un estudio)</t>
        </is>
      </c>
    </row>
    <row r="9">
      <c r="A9" s="16" t="inlineStr">
        <is>
          <t>phi (F4)</t>
        </is>
      </c>
      <c r="B9" s="11">
        <f>constantes!$B$8+0.2*(B7-constantes!$B$6)</f>
        <v/>
      </c>
      <c r="C9" s="16" t="n">
        <v>0.318</v>
      </c>
      <c r="D9" s="16" t="n"/>
    </row>
    <row r="10">
      <c r="A10" s="16" t="inlineStr">
        <is>
          <t>TDEV (meses) (F5)</t>
        </is>
      </c>
      <c r="B10" s="17">
        <f>constantes!$B$7*B8^B9*constantes!$B$16/100</f>
        <v/>
      </c>
      <c r="C10" s="16" t="n">
        <v>25.9</v>
      </c>
      <c r="D10" s="16" t="n"/>
    </row>
    <row r="11">
      <c r="A11" s="16" t="inlineStr">
        <is>
          <t>Horas totales (PM x 152)</t>
        </is>
      </c>
      <c r="B11" s="18">
        <f>B8*constantes!$B$9</f>
        <v/>
      </c>
      <c r="C11" s="19" t="n">
        <v>70726</v>
      </c>
      <c r="D11" s="16" t="n"/>
    </row>
    <row r="12">
      <c r="A12" s="16" t="inlineStr">
        <is>
          <t>Resultado de la prueba</t>
        </is>
      </c>
      <c r="B12" s="14">
        <f>IF(AND(ABS(B6-C6)&lt;0.005,ABS(B7-C7)&lt;0.0005,ABS(B8-C8)&lt;0.1,ABS(B9-C9)&lt;0.001,ABS(B10-C10)&lt;0.1,ABS(B11-C11)&lt;20),"ok","revisar")</f>
        <v/>
      </c>
      <c r="C12" s="16" t="n"/>
      <c r="D12" s="16" t="n"/>
    </row>
    <row r="15" ht="31.5" customHeight="1" s="21">
      <c r="A15" s="3" t="inlineStr">
        <is>
          <t>Bloque 2: proyecto de la hoja proyecto</t>
        </is>
      </c>
      <c r="B15" s="3" t="inlineStr">
        <is>
          <t>valor</t>
        </is>
      </c>
      <c r="C15" s="3" t="inlineStr">
        <is>
          <t>unidad</t>
        </is>
      </c>
      <c r="D15" s="3" t="inlineStr">
        <is>
          <t>formula</t>
        </is>
      </c>
    </row>
    <row r="16">
      <c r="A16" s="16" t="inlineStr">
        <is>
          <t>Suma SF</t>
        </is>
      </c>
      <c r="B16" s="20">
        <f>IF(proyecto!$C$7="","",proyecto!$C$8+proyecto!$C$9+proyecto!$C$10+proyecto!$C$11+proyecto!$C$12)</f>
        <v/>
      </c>
      <c r="C16" s="16" t="inlineStr">
        <is>
          <t>adimensional</t>
        </is>
      </c>
      <c r="D16" s="16" t="inlineStr">
        <is>
          <t>F1</t>
        </is>
      </c>
    </row>
    <row r="17">
      <c r="A17" s="16" t="inlineStr">
        <is>
          <t>E</t>
        </is>
      </c>
      <c r="B17" s="20">
        <f>IF(B16="","",constantes!$B$6+0.01*B16)</f>
        <v/>
      </c>
      <c r="C17" s="16" t="inlineStr">
        <is>
          <t>adimensional</t>
        </is>
      </c>
      <c r="D17" s="16" t="inlineStr">
        <is>
          <t>F2</t>
        </is>
      </c>
    </row>
    <row r="18">
      <c r="A18" s="16" t="inlineStr">
        <is>
          <t>PM sin SCED (PM_NS)</t>
        </is>
      </c>
      <c r="B18" s="20">
        <f>IF(B16="","",constantes!$B$5*proyecto!$C$7^B17*PRODUCT(proyecto!$C$13:$C$28))</f>
        <v/>
      </c>
      <c r="C18" s="16" t="inlineStr">
        <is>
          <t>persona-mes</t>
        </is>
      </c>
      <c r="D18" s="16" t="inlineStr">
        <is>
          <t>F3 sin multiplicador SCED</t>
        </is>
      </c>
    </row>
    <row r="19">
      <c r="A19" s="16" t="inlineStr">
        <is>
          <t>PM (con multiplicador SCED)</t>
        </is>
      </c>
      <c r="B19" s="20">
        <f>IF(B16="","",B18*proyecto!$C$29)</f>
        <v/>
      </c>
      <c r="C19" s="16" t="inlineStr">
        <is>
          <t>persona-mes</t>
        </is>
      </c>
      <c r="D19" s="16" t="inlineStr">
        <is>
          <t>F3</t>
        </is>
      </c>
    </row>
    <row r="20">
      <c r="A20" s="16" t="inlineStr">
        <is>
          <t>phi</t>
        </is>
      </c>
      <c r="B20" s="20">
        <f>IF(B16="","",constantes!$B$8+0.2*(B17-constantes!$B$6))</f>
        <v/>
      </c>
      <c r="C20" s="16" t="inlineStr">
        <is>
          <t>adimensional</t>
        </is>
      </c>
      <c r="D20" s="16" t="inlineStr">
        <is>
          <t>F4</t>
        </is>
      </c>
    </row>
    <row r="21" ht="15.75" customHeight="1" s="21">
      <c r="A21" s="16" t="inlineStr">
        <is>
          <t>TDEV</t>
        </is>
      </c>
      <c r="B21" s="20">
        <f>IF(B16="","",constantes!$B$7*B18^B20*proyecto!$C$30/100)</f>
        <v/>
      </c>
      <c r="C21" s="16" t="inlineStr">
        <is>
          <t>meses</t>
        </is>
      </c>
      <c r="D21" s="16" t="inlineStr">
        <is>
          <t>F5</t>
        </is>
      </c>
    </row>
    <row r="22" ht="15.75" customHeight="1" s="21">
      <c r="A22" s="16" t="inlineStr">
        <is>
          <t>Tarifa por hora t_h</t>
        </is>
      </c>
      <c r="B22" s="20">
        <f>IF(proyecto!$C$31="","",proyecto!$C$31/constantes!$B$9)</f>
        <v/>
      </c>
      <c r="C22" s="16" t="inlineStr">
        <is>
          <t>USD / hora</t>
        </is>
      </c>
      <c r="D22" s="16" t="inlineStr">
        <is>
          <t>F6</t>
        </is>
      </c>
    </row>
    <row r="23" ht="15.75" customHeight="1" s="21">
      <c r="A23" s="16" t="inlineStr">
        <is>
          <t>Costo tradicional C_trad</t>
        </is>
      </c>
      <c r="B23" s="20">
        <f>IF(OR(B16="",proyecto!$C$31=""),"",B19*proyecto!$C$31)</f>
        <v/>
      </c>
      <c r="C23" s="16" t="inlineStr">
        <is>
          <t>USD</t>
        </is>
      </c>
      <c r="D23" s="16" t="inlineStr">
        <is>
          <t>F7</t>
        </is>
      </c>
    </row>
    <row r="24" ht="15.75" customHeight="1" s="21">
      <c r="A24" s="16" t="inlineStr">
        <is>
          <t>Horas reducibles H_trad</t>
        </is>
      </c>
      <c r="B24" s="20">
        <f>IF(OR(B16="",proyecto!$C$32=""),"",proyecto!$C$32*B19*constantes!$B$9)</f>
        <v/>
      </c>
      <c r="C24" s="16" t="inlineStr">
        <is>
          <t>horas</t>
        </is>
      </c>
      <c r="D24" s="16" t="inlineStr">
        <is>
          <t>F8</t>
        </is>
      </c>
    </row>
    <row r="25" ht="15.75" customHeight="1" s="21">
      <c r="A25" s="16" t="inlineStr">
        <is>
          <t>Duracion T usada</t>
        </is>
      </c>
      <c r="B25" s="20">
        <f>IF(proyecto!$C$33&lt;&gt;"",proyecto!$C$33,IF(B21="","",B21))</f>
        <v/>
      </c>
      <c r="C25" s="16" t="inlineStr">
        <is>
          <t>meses</t>
        </is>
      </c>
      <c r="D25" s="16" t="inlineStr">
        <is>
          <t>T o TDEV por defecto</t>
        </is>
      </c>
    </row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1" min="1" max="1"/>
    <col width="16" customWidth="1" style="21" min="2" max="3"/>
    <col width="18" customWidth="1" style="21" min="4" max="4"/>
    <col width="70" customWidth="1" style="21" min="5" max="5"/>
    <col width="8.710000000000001" customWidth="1" style="21" min="6" max="26"/>
  </cols>
  <sheetData>
    <row r="1">
      <c r="A1" s="1" t="inlineStr">
        <is>
          <t>Rangos que valida M0 antes de calcular</t>
        </is>
      </c>
    </row>
    <row r="2">
      <c r="A2" s="2" t="inlineStr">
        <is>
          <t>Si un valor sale del rango, M0 se detiene y indica el campo. Los rangos de f vienen del manual; los de los agentes dependen de la literatura.</t>
        </is>
      </c>
    </row>
    <row r="4" ht="31.5" customHeight="1" s="21">
      <c r="A4" s="3" t="inlineStr">
        <is>
          <t>parametro</t>
        </is>
      </c>
      <c r="B4" s="3" t="inlineStr">
        <is>
          <t>minimo permitido</t>
        </is>
      </c>
      <c r="C4" s="3" t="inlineStr">
        <is>
          <t>maximo permitido</t>
        </is>
      </c>
      <c r="D4" s="3" t="inlineStr">
        <is>
          <t>tipo de control</t>
        </is>
      </c>
      <c r="E4" s="3" t="inlineStr">
        <is>
          <t>nota</t>
        </is>
      </c>
    </row>
    <row r="5">
      <c r="A5" s="4" t="inlineStr">
        <is>
          <t>r</t>
        </is>
      </c>
      <c r="B5" s="4" t="n">
        <v>0</v>
      </c>
      <c r="C5" s="4" t="n">
        <v>1</v>
      </c>
      <c r="D5" s="4" t="inlineStr">
        <is>
          <t>error</t>
        </is>
      </c>
      <c r="E5" s="4" t="inlineStr">
        <is>
          <t>Fraccion</t>
        </is>
      </c>
    </row>
    <row r="6">
      <c r="A6" s="4" t="inlineStr">
        <is>
          <t>f</t>
        </is>
      </c>
      <c r="B6" s="4" t="n">
        <v>0.55</v>
      </c>
      <c r="C6" s="4" t="n">
        <v>0.61</v>
      </c>
      <c r="D6" s="4" t="inlineStr">
        <is>
          <t>advertencia</t>
        </is>
      </c>
      <c r="E6" s="4" t="inlineStr">
        <is>
          <t>Rango sugerido del manual (E = 1,0997; 8 a 128 KSLOC). Fuera del rango exige declarar el supuesto</t>
        </is>
      </c>
    </row>
    <row r="7">
      <c r="A7" s="4" t="inlineStr">
        <is>
          <t>Size (KSLOC)</t>
        </is>
      </c>
      <c r="B7" s="4" t="n">
        <v>0</v>
      </c>
      <c r="C7" s="4" t="n"/>
      <c r="D7" s="4" t="inlineStr">
        <is>
          <t>error</t>
        </is>
      </c>
      <c r="E7" s="4" t="inlineStr">
        <is>
          <t>Mayor que 0; logicas</t>
        </is>
      </c>
    </row>
    <row r="8">
      <c r="A8" s="4" t="inlineStr">
        <is>
          <t>c_pm</t>
        </is>
      </c>
      <c r="B8" s="4" t="n">
        <v>0</v>
      </c>
      <c r="C8" s="4" t="n"/>
      <c r="D8" s="4" t="inlineStr">
        <is>
          <t>error</t>
        </is>
      </c>
      <c r="E8" s="4" t="inlineStr">
        <is>
          <t>Mayor que 0</t>
        </is>
      </c>
    </row>
    <row r="9">
      <c r="A9" s="4" t="inlineStr">
        <is>
          <t>rho_rev, rho_retr</t>
        </is>
      </c>
      <c r="B9" s="4" t="n">
        <v>0</v>
      </c>
      <c r="C9" s="4" t="n"/>
      <c r="D9" s="4" t="inlineStr">
        <is>
          <t>error</t>
        </is>
      </c>
      <c r="E9" s="4" t="inlineStr">
        <is>
          <t>Mayor o igual que 0</t>
        </is>
      </c>
    </row>
    <row r="10">
      <c r="A10" s="4" t="inlineStr">
        <is>
          <t>delta</t>
        </is>
      </c>
      <c r="B10" s="4" t="n">
        <v>0</v>
      </c>
      <c r="C10" s="4" t="n"/>
      <c r="D10" s="4" t="inlineStr">
        <is>
          <t>error</t>
        </is>
      </c>
      <c r="E10" s="4" t="inlineStr">
        <is>
          <t>Mayor o igual que 0</t>
        </is>
      </c>
    </row>
    <row r="11">
      <c r="A11" s="4" t="inlineStr">
        <is>
          <t>c_api_h, h_def, p_lic, h_cap, h_int</t>
        </is>
      </c>
      <c r="B11" s="4" t="n">
        <v>0</v>
      </c>
      <c r="C11" s="4" t="n"/>
      <c r="D11" s="4" t="inlineStr">
        <is>
          <t>error</t>
        </is>
      </c>
      <c r="E11" s="4" t="inlineStr">
        <is>
          <t>Mayor o igual que 0</t>
        </is>
      </c>
    </row>
    <row r="12">
      <c r="A12" s="4" t="inlineStr">
        <is>
          <t>minimo &lt;= esperado &lt;= maximo</t>
        </is>
      </c>
      <c r="B12" s="4" t="n"/>
      <c r="C12" s="4" t="n"/>
      <c r="D12" s="4" t="inlineStr">
        <is>
          <t>error</t>
        </is>
      </c>
      <c r="E12" s="4" t="inlineStr">
        <is>
          <t>Aplica a todos los parametros de agentes</t>
        </is>
      </c>
    </row>
    <row r="13">
      <c r="A13" s="4" t="inlineStr">
        <is>
          <t>Error relativo exito (F34)</t>
        </is>
      </c>
      <c r="B13" s="4" t="n"/>
      <c r="C13" s="4" t="n">
        <v>0.25</v>
      </c>
      <c r="D13" s="4" t="inlineStr">
        <is>
          <t>criterio</t>
        </is>
      </c>
      <c r="E13" s="4" t="inlineStr">
        <is>
          <t>PRED(25); Conte et al. (1986) por verificar en la fuente original</t>
        </is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2026-10-24T00:22:29Z</dcterms:created>
  <dcterms:modified xmlns:dcterms="http://purl.org/dc/terms/" xmlns:xsi="http://www.w3.org/2001/XMLSchema-instance" xsi:type="dcterms:W3CDTF">2026-10-25T01:19:54Z</dcterms:modified>
</cp:coreProperties>
</file>